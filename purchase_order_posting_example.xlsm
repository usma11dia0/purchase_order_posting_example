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suke\Documents\dev\excel_vba_example\"/>
    </mc:Choice>
  </mc:AlternateContent>
  <xr:revisionPtr revIDLastSave="0" documentId="13_ncr:1_{4E9464D1-B63B-4C72-8611-9D49C9359E4D}" xr6:coauthVersionLast="47" xr6:coauthVersionMax="47" xr10:uidLastSave="{00000000-0000-0000-0000-000000000000}"/>
  <bookViews>
    <workbookView xWindow="29610" yWindow="-120" windowWidth="28110" windowHeight="16440" xr2:uid="{00000000-000D-0000-FFFF-FFFF00000000}"/>
  </bookViews>
  <sheets>
    <sheet name="マクロ実行シート" sheetId="12" r:id="rId1"/>
    <sheet name="Template" sheetId="14" r:id="rId2"/>
    <sheet name="0422XST" sheetId="51" r:id="rId3"/>
    <sheet name="0422YST" sheetId="52" r:id="rId4"/>
    <sheet name="0419_21XST" sheetId="53" r:id="rId5"/>
  </sheets>
  <functionGroups builtInGroupCount="19"/>
  <definedNames>
    <definedName name="_xlnm._FilterDatabase" localSheetId="4" hidden="1">'0419_21XST'!$A$12:$J$50</definedName>
    <definedName name="_xlnm.Print_Area" localSheetId="1">Template!$A$1:$AF$131</definedName>
    <definedName name="_xlnm.Print_Titles" localSheetId="1">Template!$1:$5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30" i="14" l="1"/>
  <c r="N130" i="14"/>
  <c r="M130" i="14"/>
  <c r="L130" i="14"/>
  <c r="K130" i="14"/>
  <c r="J130" i="14"/>
  <c r="I130" i="14"/>
  <c r="AE130" i="14"/>
  <c r="AD130" i="14"/>
  <c r="AC130" i="14"/>
  <c r="AB130" i="14"/>
  <c r="AA130" i="14"/>
  <c r="Z130" i="14"/>
  <c r="Y130" i="14"/>
  <c r="X130" i="14"/>
  <c r="W130" i="14"/>
  <c r="V130" i="14"/>
  <c r="U130" i="14"/>
  <c r="T130" i="14"/>
  <c r="S130" i="14"/>
  <c r="R130" i="14"/>
  <c r="Q130" i="14"/>
  <c r="P128" i="14"/>
  <c r="P127" i="14"/>
  <c r="P126" i="14"/>
  <c r="P125" i="14"/>
  <c r="P124" i="14"/>
  <c r="P123" i="14"/>
  <c r="P122" i="14"/>
  <c r="P121" i="14"/>
  <c r="P120" i="14"/>
  <c r="P119" i="14"/>
  <c r="P118" i="14"/>
  <c r="P117" i="14"/>
  <c r="P116" i="14"/>
  <c r="P115" i="14"/>
  <c r="P113" i="14"/>
  <c r="P112" i="14"/>
  <c r="P111" i="14"/>
  <c r="P110" i="14"/>
  <c r="P109" i="14"/>
  <c r="P108" i="14"/>
  <c r="P107" i="14"/>
  <c r="P106" i="14"/>
  <c r="P105" i="14"/>
  <c r="P104" i="14"/>
  <c r="P103" i="14"/>
  <c r="P102" i="14"/>
  <c r="P101" i="14"/>
  <c r="P100" i="14"/>
  <c r="P99" i="14"/>
  <c r="P98" i="14"/>
  <c r="P97" i="14"/>
  <c r="P96" i="14"/>
  <c r="P95" i="14"/>
  <c r="P94" i="14"/>
  <c r="P93" i="14"/>
  <c r="P92" i="14"/>
  <c r="P91" i="14"/>
  <c r="P90" i="14"/>
  <c r="P89" i="14"/>
  <c r="P88" i="14"/>
  <c r="P87" i="14"/>
  <c r="P86" i="14"/>
  <c r="P85" i="14"/>
  <c r="P84" i="14"/>
  <c r="P83" i="14"/>
  <c r="P82" i="14"/>
  <c r="P81" i="14"/>
  <c r="P80" i="14"/>
  <c r="P79" i="14"/>
  <c r="P78" i="14"/>
  <c r="P77" i="14"/>
  <c r="P76" i="14"/>
  <c r="P75" i="14"/>
  <c r="P73" i="14"/>
  <c r="P72" i="14"/>
  <c r="P71" i="14"/>
  <c r="P70" i="14"/>
  <c r="P69" i="14"/>
  <c r="P68" i="14"/>
  <c r="P67" i="14"/>
  <c r="P66" i="14"/>
  <c r="P65" i="14"/>
  <c r="P64" i="14"/>
  <c r="P63" i="14"/>
  <c r="P62" i="14"/>
  <c r="P61" i="14"/>
  <c r="P60" i="14"/>
  <c r="P59" i="14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P37" i="14"/>
  <c r="P36" i="14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P14" i="14"/>
  <c r="P13" i="14"/>
  <c r="P12" i="14"/>
  <c r="P11" i="14"/>
  <c r="P10" i="14"/>
  <c r="P9" i="14"/>
  <c r="P8" i="14"/>
  <c r="P7" i="14"/>
  <c r="P6" i="14"/>
  <c r="I5" i="14"/>
  <c r="J4" i="14"/>
  <c r="J5" i="14" s="1"/>
  <c r="K4" i="14" l="1"/>
  <c r="K5" i="14" s="1"/>
  <c r="P130" i="14"/>
  <c r="L4" i="14" l="1"/>
  <c r="M4" i="14" s="1"/>
  <c r="L5" i="14" l="1"/>
  <c r="M5" i="14"/>
  <c r="N4" i="14"/>
  <c r="O4" i="14" l="1"/>
  <c r="O5" i="14" s="1"/>
  <c r="N5" i="14"/>
</calcChain>
</file>

<file path=xl/sharedStrings.xml><?xml version="1.0" encoding="utf-8"?>
<sst xmlns="http://schemas.openxmlformats.org/spreadsheetml/2006/main" count="363" uniqueCount="82">
  <si>
    <t>品名</t>
  </si>
  <si>
    <t>入</t>
    <rPh sb="0" eb="1">
      <t>イ</t>
    </rPh>
    <phoneticPr fontId="3"/>
  </si>
  <si>
    <t>数</t>
    <rPh sb="0" eb="1">
      <t>スウ</t>
    </rPh>
    <phoneticPr fontId="3"/>
  </si>
  <si>
    <t>合計</t>
    <rPh sb="0" eb="2">
      <t>ゴウケイ</t>
    </rPh>
    <phoneticPr fontId="2"/>
  </si>
  <si>
    <t>商品</t>
    <rPh sb="0" eb="2">
      <t>ショウヒン</t>
    </rPh>
    <phoneticPr fontId="4"/>
  </si>
  <si>
    <t>手配</t>
    <rPh sb="0" eb="2">
      <t>テハイ</t>
    </rPh>
    <phoneticPr fontId="2"/>
  </si>
  <si>
    <t>消費</t>
    <rPh sb="0" eb="2">
      <t>ショウヒ</t>
    </rPh>
    <phoneticPr fontId="2"/>
  </si>
  <si>
    <t>期限</t>
    <rPh sb="0" eb="2">
      <t>キゲン</t>
    </rPh>
    <phoneticPr fontId="2"/>
  </si>
  <si>
    <t>○○様
ご担当</t>
    <rPh sb="2" eb="3">
      <t>サマ</t>
    </rPh>
    <rPh sb="5" eb="7">
      <t>タントウ</t>
    </rPh>
    <phoneticPr fontId="2"/>
  </si>
  <si>
    <t>使い方</t>
    <rPh sb="0" eb="1">
      <t>ツカ</t>
    </rPh>
    <rPh sb="2" eb="3">
      <t>カタ</t>
    </rPh>
    <phoneticPr fontId="16"/>
  </si>
  <si>
    <t>③ "Template"シートの日付を確認する。</t>
    <rPh sb="16" eb="18">
      <t>ヒヅケ</t>
    </rPh>
    <rPh sb="19" eb="21">
      <t>カクニン</t>
    </rPh>
    <phoneticPr fontId="16"/>
  </si>
  <si>
    <t>④ 上記実行後 ”マクロ実行シートの”発注書転記”ボタンをクリックしていただくと、転記を開始します。</t>
    <rPh sb="2" eb="7">
      <t>ジョウキジッコウゴ</t>
    </rPh>
    <rPh sb="12" eb="14">
      <t>ジッコウ</t>
    </rPh>
    <rPh sb="19" eb="22">
      <t>ハッチュウショ</t>
    </rPh>
    <rPh sb="22" eb="24">
      <t>テンキ</t>
    </rPh>
    <rPh sb="41" eb="43">
      <t>テンキ</t>
    </rPh>
    <rPh sb="44" eb="46">
      <t>カイシ</t>
    </rPh>
    <phoneticPr fontId="16"/>
  </si>
  <si>
    <t>※マクロ実行後、実行前に戻したい場合は”初期化”をクリックしてください。</t>
    <rPh sb="4" eb="7">
      <t>ジッコウゴ</t>
    </rPh>
    <rPh sb="8" eb="11">
      <t>ジッコウマエ</t>
    </rPh>
    <rPh sb="12" eb="13">
      <t>モド</t>
    </rPh>
    <rPh sb="16" eb="18">
      <t>バアイ</t>
    </rPh>
    <rPh sb="20" eb="23">
      <t>ショキカ</t>
    </rPh>
    <phoneticPr fontId="16"/>
  </si>
  <si>
    <t>⑤ 発注書転記ボタンにより作成されたシートをPDF出力する場合は、"PDF出力"ボタンをクリックしてください。</t>
    <rPh sb="2" eb="5">
      <t>ハッチュウショ</t>
    </rPh>
    <rPh sb="5" eb="7">
      <t>テンキ</t>
    </rPh>
    <rPh sb="13" eb="15">
      <t>サクセイ</t>
    </rPh>
    <rPh sb="25" eb="27">
      <t>シュツリョク</t>
    </rPh>
    <rPh sb="29" eb="31">
      <t>バアイ</t>
    </rPh>
    <rPh sb="37" eb="39">
      <t>シュツリョク</t>
    </rPh>
    <phoneticPr fontId="16"/>
  </si>
  <si>
    <r>
      <t>※ファルダ名およびPDFファイル名の日付は、</t>
    </r>
    <r>
      <rPr>
        <b/>
        <sz val="11"/>
        <color rgb="FFFF0000"/>
        <rFont val="游ゴシック"/>
        <family val="3"/>
        <charset val="128"/>
        <scheme val="minor"/>
      </rPr>
      <t>”Template”シートのI4セルの日付</t>
    </r>
    <r>
      <rPr>
        <sz val="11"/>
        <color theme="1"/>
        <rFont val="游ゴシック"/>
        <family val="3"/>
        <charset val="128"/>
        <scheme val="minor"/>
      </rPr>
      <t>を参照しております。</t>
    </r>
    <rPh sb="5" eb="6">
      <t>メイ</t>
    </rPh>
    <rPh sb="16" eb="17">
      <t>メイ</t>
    </rPh>
    <rPh sb="18" eb="20">
      <t>ヒヅケ</t>
    </rPh>
    <rPh sb="41" eb="43">
      <t>ヒヅケ</t>
    </rPh>
    <rPh sb="44" eb="46">
      <t>サンショウ</t>
    </rPh>
    <phoneticPr fontId="16"/>
  </si>
  <si>
    <r>
      <t>※ボタンクリック後、</t>
    </r>
    <r>
      <rPr>
        <b/>
        <sz val="11"/>
        <color rgb="FFFF0000"/>
        <rFont val="游ゴシック"/>
        <family val="3"/>
        <charset val="128"/>
        <scheme val="minor"/>
      </rPr>
      <t>マクロファイルと同階層のフォルダ内</t>
    </r>
    <r>
      <rPr>
        <sz val="11"/>
        <color theme="1"/>
        <rFont val="游ゴシック"/>
        <family val="3"/>
        <charset val="128"/>
        <scheme val="minor"/>
      </rPr>
      <t>に週初め日付フォルダが作成され、当フォルダ内にPDFファイルが格納されます。</t>
    </r>
    <rPh sb="8" eb="9">
      <t>ゴ</t>
    </rPh>
    <rPh sb="18" eb="19">
      <t>ドウ</t>
    </rPh>
    <rPh sb="19" eb="21">
      <t>カイソウ</t>
    </rPh>
    <rPh sb="26" eb="27">
      <t>ナイ</t>
    </rPh>
    <rPh sb="28" eb="29">
      <t>シュウ</t>
    </rPh>
    <rPh sb="29" eb="30">
      <t>ハジ</t>
    </rPh>
    <rPh sb="31" eb="33">
      <t>ヒヅケ</t>
    </rPh>
    <rPh sb="38" eb="40">
      <t>サクセイ</t>
    </rPh>
    <rPh sb="43" eb="44">
      <t>トウ</t>
    </rPh>
    <rPh sb="48" eb="49">
      <t>ナイ</t>
    </rPh>
    <rPh sb="58" eb="60">
      <t>カクノウ</t>
    </rPh>
    <phoneticPr fontId="16"/>
  </si>
  <si>
    <t>発注書</t>
  </si>
  <si>
    <t>納品日</t>
  </si>
  <si>
    <t>店舗名</t>
  </si>
  <si>
    <t>商品コード</t>
  </si>
  <si>
    <t>取引先商品CD</t>
  </si>
  <si>
    <t>JANコード</t>
  </si>
  <si>
    <t>商品名</t>
  </si>
  <si>
    <t>数量</t>
  </si>
  <si>
    <t>単価</t>
  </si>
  <si>
    <t>金額</t>
  </si>
  <si>
    <t>TOK_MGR1</t>
  </si>
  <si>
    <t>B</t>
    <phoneticPr fontId="25"/>
  </si>
  <si>
    <t>C</t>
    <phoneticPr fontId="25"/>
  </si>
  <si>
    <t>D</t>
    <phoneticPr fontId="25"/>
  </si>
  <si>
    <t>取引先名: ×××××株式会社　御中</t>
    <rPh sb="11" eb="15">
      <t>カブシキガイシャ</t>
    </rPh>
    <phoneticPr fontId="16"/>
  </si>
  <si>
    <t>請求先: ××××会社</t>
    <phoneticPr fontId="16"/>
  </si>
  <si>
    <t>〒×××-××××</t>
    <phoneticPr fontId="16"/>
  </si>
  <si>
    <t>×××××</t>
    <phoneticPr fontId="16"/>
  </si>
  <si>
    <t>×××××××××</t>
    <phoneticPr fontId="16"/>
  </si>
  <si>
    <t>TEL: ××-××××-××××</t>
    <phoneticPr fontId="16"/>
  </si>
  <si>
    <t>aaaaa</t>
    <phoneticPr fontId="16"/>
  </si>
  <si>
    <t>bbbbb</t>
    <phoneticPr fontId="16"/>
  </si>
  <si>
    <t>ccccc</t>
    <phoneticPr fontId="16"/>
  </si>
  <si>
    <t>ddddd</t>
    <phoneticPr fontId="16"/>
  </si>
  <si>
    <t>eeeee</t>
    <phoneticPr fontId="16"/>
  </si>
  <si>
    <t>fffff</t>
    <phoneticPr fontId="16"/>
  </si>
  <si>
    <t>ggggg</t>
    <phoneticPr fontId="16"/>
  </si>
  <si>
    <t>C社</t>
    <rPh sb="1" eb="2">
      <t>シャ</t>
    </rPh>
    <phoneticPr fontId="16"/>
  </si>
  <si>
    <t>A社</t>
    <rPh sb="1" eb="2">
      <t>シャ</t>
    </rPh>
    <phoneticPr fontId="16"/>
  </si>
  <si>
    <t>B社</t>
    <rPh sb="1" eb="2">
      <t>シャ</t>
    </rPh>
    <phoneticPr fontId="16"/>
  </si>
  <si>
    <t>hhhhh</t>
    <phoneticPr fontId="16"/>
  </si>
  <si>
    <t>iiiiiii</t>
    <phoneticPr fontId="16"/>
  </si>
  <si>
    <t>iiiiii</t>
    <phoneticPr fontId="16"/>
  </si>
  <si>
    <t>jjjjj</t>
    <phoneticPr fontId="16"/>
  </si>
  <si>
    <t>kkkkk</t>
    <phoneticPr fontId="16"/>
  </si>
  <si>
    <t>lllll</t>
    <phoneticPr fontId="16"/>
  </si>
  <si>
    <t>mmmmm</t>
    <phoneticPr fontId="16"/>
  </si>
  <si>
    <t>nnnnn</t>
    <phoneticPr fontId="16"/>
  </si>
  <si>
    <t>ooooo</t>
    <phoneticPr fontId="16"/>
  </si>
  <si>
    <t>xxxxx</t>
    <phoneticPr fontId="16"/>
  </si>
  <si>
    <t>wwwww</t>
    <phoneticPr fontId="16"/>
  </si>
  <si>
    <t>zzzzz</t>
    <phoneticPr fontId="16"/>
  </si>
  <si>
    <t>ppppp</t>
    <phoneticPr fontId="16"/>
  </si>
  <si>
    <t>●●●●株式会社 店舗名</t>
    <rPh sb="4" eb="8">
      <t>カブシキガイシャ</t>
    </rPh>
    <rPh sb="9" eb="12">
      <t>テンポメイ</t>
    </rPh>
    <phoneticPr fontId="16"/>
  </si>
  <si>
    <t>JANコード</t>
    <phoneticPr fontId="16"/>
  </si>
  <si>
    <t>〒×××-××××</t>
    <phoneticPr fontId="16"/>
  </si>
  <si>
    <t>××××××××××××××</t>
    <phoneticPr fontId="16"/>
  </si>
  <si>
    <t>TEL: ×××-××××-××××</t>
    <phoneticPr fontId="16"/>
  </si>
  <si>
    <t>FAX: ×××-××××-××××</t>
    <phoneticPr fontId="16"/>
  </si>
  <si>
    <t>取引条件:　×××××</t>
    <phoneticPr fontId="16"/>
  </si>
  <si>
    <t>支払方法:　×××××</t>
    <phoneticPr fontId="16"/>
  </si>
  <si>
    <t>FAX: ××-××××-××××</t>
    <phoneticPr fontId="16"/>
  </si>
  <si>
    <t>×××</t>
    <phoneticPr fontId="16"/>
  </si>
  <si>
    <t>店舗名</t>
    <rPh sb="0" eb="2">
      <t>テンポ</t>
    </rPh>
    <rPh sb="2" eb="3">
      <t>メイ</t>
    </rPh>
    <phoneticPr fontId="16"/>
  </si>
  <si>
    <t>シート名</t>
    <rPh sb="3" eb="4">
      <t>メイ</t>
    </rPh>
    <phoneticPr fontId="16"/>
  </si>
  <si>
    <t>①A列'店舗名”とB列'シート名"へ、それぞれ転記したい発注書の店舗名とそのシート名を記載してください。</t>
    <rPh sb="2" eb="3">
      <t>レツ</t>
    </rPh>
    <rPh sb="4" eb="6">
      <t>テンポ</t>
    </rPh>
    <rPh sb="6" eb="7">
      <t>メイ</t>
    </rPh>
    <rPh sb="10" eb="11">
      <t>レツ</t>
    </rPh>
    <rPh sb="15" eb="16">
      <t>メイ</t>
    </rPh>
    <rPh sb="23" eb="25">
      <t>テンキ</t>
    </rPh>
    <rPh sb="28" eb="31">
      <t>ハッチュウショ</t>
    </rPh>
    <rPh sb="32" eb="35">
      <t>テンポメイ</t>
    </rPh>
    <rPh sb="41" eb="42">
      <t>メイ</t>
    </rPh>
    <rPh sb="43" eb="45">
      <t>キサイ</t>
    </rPh>
    <phoneticPr fontId="16"/>
  </si>
  <si>
    <t>②発注書のシートを本ファイルへコピーする。</t>
    <rPh sb="1" eb="4">
      <t>ハッチュウショ</t>
    </rPh>
    <rPh sb="9" eb="10">
      <t>ホン</t>
    </rPh>
    <phoneticPr fontId="16"/>
  </si>
  <si>
    <t>X店舗</t>
    <rPh sb="1" eb="3">
      <t>テンポ</t>
    </rPh>
    <phoneticPr fontId="16"/>
  </si>
  <si>
    <t>Y店舗</t>
    <rPh sb="1" eb="3">
      <t>テンポ</t>
    </rPh>
    <phoneticPr fontId="16"/>
  </si>
  <si>
    <t>XST</t>
    <phoneticPr fontId="16"/>
  </si>
  <si>
    <t>YST</t>
    <phoneticPr fontId="16"/>
  </si>
  <si>
    <t>例：X店舗向けの発注書シートを転記したい場合</t>
    <rPh sb="0" eb="1">
      <t>レイ</t>
    </rPh>
    <rPh sb="3" eb="5">
      <t>テンポ</t>
    </rPh>
    <rPh sb="5" eb="6">
      <t>ム</t>
    </rPh>
    <rPh sb="8" eb="10">
      <t>ハッチュウ</t>
    </rPh>
    <rPh sb="10" eb="11">
      <t>ショ</t>
    </rPh>
    <rPh sb="15" eb="17">
      <t>テンキ</t>
    </rPh>
    <rPh sb="20" eb="22">
      <t>バアイ</t>
    </rPh>
    <phoneticPr fontId="16"/>
  </si>
  <si>
    <t>xxxxxxxx</t>
    <phoneticPr fontId="16"/>
  </si>
  <si>
    <t>YST</t>
    <phoneticPr fontId="16"/>
  </si>
  <si>
    <t>XST</t>
    <phoneticPr fontId="16"/>
  </si>
  <si>
    <t>ｓ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</si>
</sst>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7" formatCode="0_);[Red]\(0\)"/>
  </numFmts>
  <fonts count="27" x14ac:knownFonts="1">
    <font>
      <sz val="11"/>
      <color theme="1"/>
      <name val="ＭＳ Ｐゴシック"/>
      <family val="2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ＭＳ Ｐゴシック"/>
      <family val="2"/>
      <charset val="128"/>
    </font>
    <font>
      <b/>
      <sz val="13"/>
      <color theme="3"/>
      <name val="ＭＳ Ｐゴシック"/>
      <family val="2"/>
      <charset val="128"/>
    </font>
    <font>
      <sz val="11"/>
      <name val="游ゴシック"/>
      <family val="3"/>
      <charset val="128"/>
      <scheme val="minor"/>
    </font>
    <font>
      <sz val="22"/>
      <color theme="1"/>
      <name val="ＭＳ Ｐゴシック"/>
      <family val="3"/>
      <charset val="128"/>
    </font>
    <font>
      <sz val="10"/>
      <color theme="1"/>
      <name val="游ゴシック"/>
      <family val="3"/>
      <charset val="128"/>
      <scheme val="minor"/>
    </font>
    <font>
      <sz val="14"/>
      <color theme="1"/>
      <name val="ＭＳ Ｐゴシック"/>
      <family val="2"/>
      <charset val="128"/>
    </font>
    <font>
      <sz val="10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sz val="10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6"/>
      <name val="ＭＳ Ｐゴシック"/>
      <family val="2"/>
      <charset val="128"/>
    </font>
    <font>
      <sz val="11"/>
      <color theme="1"/>
      <name val="游ゴシック"/>
      <family val="2"/>
      <scheme val="minor"/>
    </font>
    <font>
      <b/>
      <sz val="11"/>
      <color theme="1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6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</borders>
  <cellStyleXfs count="3">
    <xf numFmtId="0" fontId="0" fillId="0" borderId="0">
      <alignment vertical="center"/>
    </xf>
    <xf numFmtId="0" fontId="17" fillId="0" borderId="0"/>
    <xf numFmtId="0" fontId="1" fillId="0" borderId="0">
      <alignment vertical="center"/>
    </xf>
  </cellStyleXfs>
  <cellXfs count="116">
    <xf numFmtId="0" fontId="0" fillId="0" borderId="0" xfId="0">
      <alignment vertical="center"/>
    </xf>
    <xf numFmtId="0" fontId="11" fillId="0" borderId="12" xfId="0" applyFont="1" applyFill="1" applyBorder="1" applyAlignment="1">
      <alignment vertical="center" wrapText="1"/>
    </xf>
    <xf numFmtId="0" fontId="0" fillId="0" borderId="0" xfId="0" applyFill="1">
      <alignment vertical="center"/>
    </xf>
    <xf numFmtId="0" fontId="10" fillId="0" borderId="12" xfId="0" applyFont="1" applyFill="1" applyBorder="1">
      <alignment vertical="center"/>
    </xf>
    <xf numFmtId="0" fontId="10" fillId="0" borderId="13" xfId="0" applyFont="1" applyFill="1" applyBorder="1" applyAlignment="1">
      <alignment vertical="center" shrinkToFit="1"/>
    </xf>
    <xf numFmtId="0" fontId="14" fillId="0" borderId="14" xfId="0" applyFont="1" applyFill="1" applyBorder="1" applyAlignment="1">
      <alignment shrinkToFit="1"/>
    </xf>
    <xf numFmtId="0" fontId="9" fillId="0" borderId="15" xfId="0" applyFont="1" applyFill="1" applyBorder="1" applyAlignment="1">
      <alignment horizontal="center" shrinkToFit="1"/>
    </xf>
    <xf numFmtId="0" fontId="5" fillId="0" borderId="0" xfId="0" applyFont="1" applyFill="1">
      <alignment vertical="center"/>
    </xf>
    <xf numFmtId="0" fontId="9" fillId="0" borderId="18" xfId="0" applyFont="1" applyFill="1" applyBorder="1" applyAlignment="1">
      <alignment horizontal="center" shrinkToFit="1"/>
    </xf>
    <xf numFmtId="0" fontId="9" fillId="0" borderId="6" xfId="0" applyFont="1" applyFill="1" applyBorder="1" applyAlignment="1">
      <alignment horizontal="center" shrinkToFit="1"/>
    </xf>
    <xf numFmtId="0" fontId="9" fillId="0" borderId="10" xfId="0" applyFont="1" applyFill="1" applyBorder="1" applyAlignment="1">
      <alignment horizontal="center" shrinkToFit="1"/>
    </xf>
    <xf numFmtId="0" fontId="9" fillId="0" borderId="17" xfId="0" applyFont="1" applyFill="1" applyBorder="1" applyAlignment="1">
      <alignment horizontal="center" shrinkToFit="1"/>
    </xf>
    <xf numFmtId="0" fontId="9" fillId="0" borderId="19" xfId="0" applyFont="1" applyFill="1" applyBorder="1" applyAlignment="1">
      <alignment horizontal="center" shrinkToFit="1"/>
    </xf>
    <xf numFmtId="0" fontId="10" fillId="0" borderId="0" xfId="0" applyFont="1" applyFill="1" applyAlignment="1">
      <alignment vertical="center" wrapText="1"/>
    </xf>
    <xf numFmtId="0" fontId="11" fillId="0" borderId="11" xfId="0" applyFont="1" applyFill="1" applyBorder="1" applyAlignment="1">
      <alignment vertical="center" wrapText="1"/>
    </xf>
    <xf numFmtId="0" fontId="13" fillId="0" borderId="20" xfId="0" applyFont="1" applyFill="1" applyBorder="1" applyAlignment="1">
      <alignment shrinkToFit="1"/>
    </xf>
    <xf numFmtId="0" fontId="10" fillId="0" borderId="23" xfId="0" applyFont="1" applyFill="1" applyBorder="1">
      <alignment vertical="center"/>
    </xf>
    <xf numFmtId="0" fontId="9" fillId="0" borderId="21" xfId="0" applyFont="1" applyFill="1" applyBorder="1">
      <alignment vertical="center"/>
    </xf>
    <xf numFmtId="0" fontId="6" fillId="0" borderId="0" xfId="0" applyFont="1" applyFill="1">
      <alignment vertical="center"/>
    </xf>
    <xf numFmtId="0" fontId="0" fillId="0" borderId="0" xfId="0" applyFill="1" applyAlignment="1">
      <alignment vertical="center" shrinkToFit="1"/>
    </xf>
    <xf numFmtId="0" fontId="7" fillId="0" borderId="0" xfId="0" applyFont="1" applyFill="1">
      <alignment vertical="center"/>
    </xf>
    <xf numFmtId="0" fontId="0" fillId="0" borderId="0" xfId="0" applyFill="1" applyAlignment="1">
      <alignment horizontal="left" vertical="center"/>
    </xf>
    <xf numFmtId="0" fontId="0" fillId="0" borderId="1" xfId="0" applyFill="1" applyBorder="1">
      <alignment vertical="center"/>
    </xf>
    <xf numFmtId="0" fontId="0" fillId="0" borderId="2" xfId="0" applyFill="1" applyBorder="1" applyAlignment="1">
      <alignment vertical="center" shrinkToFit="1"/>
    </xf>
    <xf numFmtId="0" fontId="12" fillId="0" borderId="1" xfId="0" applyFont="1" applyFill="1" applyBorder="1">
      <alignment vertical="center"/>
    </xf>
    <xf numFmtId="0" fontId="0" fillId="0" borderId="4" xfId="0" applyFill="1" applyBorder="1">
      <alignment vertical="center"/>
    </xf>
    <xf numFmtId="0" fontId="0" fillId="0" borderId="5" xfId="0" applyFill="1" applyBorder="1" applyAlignment="1">
      <alignment vertical="center" shrinkToFit="1"/>
    </xf>
    <xf numFmtId="0" fontId="12" fillId="0" borderId="4" xfId="0" applyFont="1" applyFill="1" applyBorder="1">
      <alignment vertical="center"/>
    </xf>
    <xf numFmtId="0" fontId="10" fillId="0" borderId="23" xfId="0" applyFont="1" applyFill="1" applyBorder="1" applyAlignment="1">
      <alignment vertical="center" shrinkToFit="1"/>
    </xf>
    <xf numFmtId="0" fontId="9" fillId="0" borderId="3" xfId="0" applyFont="1" applyFill="1" applyBorder="1" applyAlignment="1">
      <alignment horizontal="center" vertical="center" shrinkToFit="1"/>
    </xf>
    <xf numFmtId="0" fontId="9" fillId="0" borderId="6" xfId="0" applyFont="1" applyFill="1" applyBorder="1" applyAlignment="1">
      <alignment horizontal="center" vertical="center" shrinkToFit="1"/>
    </xf>
    <xf numFmtId="0" fontId="13" fillId="0" borderId="24" xfId="0" applyFont="1" applyFill="1" applyBorder="1" applyAlignment="1">
      <alignment shrinkToFit="1"/>
    </xf>
    <xf numFmtId="0" fontId="0" fillId="0" borderId="22" xfId="0" applyFill="1" applyBorder="1">
      <alignment vertical="center"/>
    </xf>
    <xf numFmtId="0" fontId="9" fillId="0" borderId="25" xfId="0" applyFont="1" applyFill="1" applyBorder="1">
      <alignment vertical="center"/>
    </xf>
    <xf numFmtId="0" fontId="15" fillId="0" borderId="9" xfId="0" applyFont="1" applyFill="1" applyBorder="1" applyAlignment="1">
      <alignment shrinkToFit="1"/>
    </xf>
    <xf numFmtId="0" fontId="15" fillId="0" borderId="7" xfId="0" applyFont="1" applyFill="1" applyBorder="1" applyAlignment="1">
      <alignment shrinkToFit="1"/>
    </xf>
    <xf numFmtId="0" fontId="15" fillId="0" borderId="8" xfId="0" applyFont="1" applyFill="1" applyBorder="1" applyAlignment="1">
      <alignment shrinkToFit="1"/>
    </xf>
    <xf numFmtId="0" fontId="15" fillId="0" borderId="11" xfId="0" applyFont="1" applyFill="1" applyBorder="1" applyAlignment="1">
      <alignment shrinkToFit="1"/>
    </xf>
    <xf numFmtId="0" fontId="0" fillId="0" borderId="26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8" fillId="0" borderId="28" xfId="0" applyNumberFormat="1" applyFont="1" applyFill="1" applyBorder="1" applyAlignment="1">
      <alignment horizontal="center" vertical="center" shrinkToFit="1"/>
    </xf>
    <xf numFmtId="176" fontId="8" fillId="0" borderId="29" xfId="0" applyNumberFormat="1" applyFont="1" applyFill="1" applyBorder="1" applyAlignment="1">
      <alignment horizontal="center" vertical="center" shrinkToFit="1"/>
    </xf>
    <xf numFmtId="0" fontId="0" fillId="0" borderId="31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177" fontId="0" fillId="0" borderId="0" xfId="0" applyNumberFormat="1" applyFill="1" applyAlignment="1">
      <alignment horizontal="left" vertical="center"/>
    </xf>
    <xf numFmtId="177" fontId="6" fillId="0" borderId="0" xfId="0" applyNumberFormat="1" applyFont="1" applyFill="1" applyAlignment="1">
      <alignment horizontal="left" vertical="center"/>
    </xf>
    <xf numFmtId="177" fontId="0" fillId="0" borderId="1" xfId="0" applyNumberFormat="1" applyFill="1" applyBorder="1" applyAlignment="1">
      <alignment horizontal="left" vertical="center"/>
    </xf>
    <xf numFmtId="177" fontId="0" fillId="0" borderId="4" xfId="0" applyNumberFormat="1" applyFill="1" applyBorder="1" applyAlignment="1">
      <alignment horizontal="left" vertical="center"/>
    </xf>
    <xf numFmtId="177" fontId="11" fillId="0" borderId="12" xfId="0" applyNumberFormat="1" applyFont="1" applyFill="1" applyBorder="1" applyAlignment="1">
      <alignment horizontal="left" vertical="center" wrapText="1"/>
    </xf>
    <xf numFmtId="0" fontId="18" fillId="0" borderId="0" xfId="0" applyFont="1" applyFill="1">
      <alignment vertical="center"/>
    </xf>
    <xf numFmtId="0" fontId="19" fillId="0" borderId="0" xfId="0" applyFont="1">
      <alignment vertical="center"/>
    </xf>
    <xf numFmtId="0" fontId="19" fillId="0" borderId="0" xfId="1" applyFont="1" applyBorder="1"/>
    <xf numFmtId="177" fontId="11" fillId="0" borderId="11" xfId="0" applyNumberFormat="1" applyFont="1" applyFill="1" applyBorder="1" applyAlignment="1">
      <alignment horizontal="left" vertical="center" wrapText="1"/>
    </xf>
    <xf numFmtId="0" fontId="13" fillId="0" borderId="35" xfId="0" applyFont="1" applyFill="1" applyBorder="1" applyAlignment="1">
      <alignment shrinkToFit="1"/>
    </xf>
    <xf numFmtId="0" fontId="20" fillId="0" borderId="0" xfId="0" applyFont="1" applyBorder="1" applyAlignment="1">
      <alignment vertical="center" wrapText="1"/>
    </xf>
    <xf numFmtId="0" fontId="19" fillId="2" borderId="0" xfId="0" applyFont="1" applyFill="1" applyBorder="1">
      <alignment vertical="center"/>
    </xf>
    <xf numFmtId="0" fontId="21" fillId="0" borderId="0" xfId="1" applyFont="1" applyBorder="1"/>
    <xf numFmtId="0" fontId="19" fillId="3" borderId="0" xfId="0" applyFont="1" applyFill="1">
      <alignment vertical="center"/>
    </xf>
    <xf numFmtId="0" fontId="19" fillId="3" borderId="0" xfId="1" applyFont="1" applyFill="1" applyBorder="1"/>
    <xf numFmtId="0" fontId="19" fillId="4" borderId="0" xfId="0" applyFont="1" applyFill="1">
      <alignment vertical="center"/>
    </xf>
    <xf numFmtId="0" fontId="13" fillId="0" borderId="36" xfId="0" applyFont="1" applyFill="1" applyBorder="1" applyAlignment="1">
      <alignment shrinkToFit="1"/>
    </xf>
    <xf numFmtId="0" fontId="1" fillId="0" borderId="0" xfId="2">
      <alignment vertical="center"/>
    </xf>
    <xf numFmtId="0" fontId="23" fillId="0" borderId="37" xfId="2" applyFont="1" applyBorder="1" applyAlignment="1">
      <alignment horizontal="centerContinuous"/>
    </xf>
    <xf numFmtId="0" fontId="23" fillId="0" borderId="37" xfId="2" applyFont="1" applyBorder="1" applyAlignment="1">
      <alignment horizontal="centerContinuous" shrinkToFit="1"/>
    </xf>
    <xf numFmtId="1" fontId="23" fillId="0" borderId="37" xfId="2" applyNumberFormat="1" applyFont="1" applyBorder="1" applyAlignment="1">
      <alignment horizontal="centerContinuous"/>
    </xf>
    <xf numFmtId="0" fontId="24" fillId="0" borderId="37" xfId="2" applyFont="1" applyBorder="1" applyAlignment="1">
      <alignment horizontal="centerContinuous" shrinkToFit="1"/>
    </xf>
    <xf numFmtId="0" fontId="24" fillId="0" borderId="37" xfId="2" applyFont="1" applyBorder="1" applyAlignment="1">
      <alignment horizontal="centerContinuous"/>
    </xf>
    <xf numFmtId="0" fontId="24" fillId="0" borderId="0" xfId="2" applyFont="1" applyAlignment="1"/>
    <xf numFmtId="0" fontId="24" fillId="0" borderId="0" xfId="2" applyFont="1" applyAlignment="1">
      <alignment shrinkToFit="1"/>
    </xf>
    <xf numFmtId="1" fontId="24" fillId="0" borderId="0" xfId="2" applyNumberFormat="1" applyFont="1" applyAlignment="1"/>
    <xf numFmtId="0" fontId="24" fillId="0" borderId="38" xfId="2" applyFont="1" applyBorder="1" applyAlignment="1">
      <alignment shrinkToFit="1"/>
    </xf>
    <xf numFmtId="0" fontId="24" fillId="0" borderId="38" xfId="2" applyFont="1" applyBorder="1" applyAlignment="1">
      <alignment horizontal="right"/>
    </xf>
    <xf numFmtId="14" fontId="24" fillId="0" borderId="0" xfId="2" applyNumberFormat="1" applyFont="1" applyAlignment="1"/>
    <xf numFmtId="14" fontId="24" fillId="0" borderId="0" xfId="2" applyNumberFormat="1" applyFont="1" applyAlignment="1">
      <alignment shrinkToFit="1"/>
    </xf>
    <xf numFmtId="0" fontId="24" fillId="0" borderId="0" xfId="2" applyFont="1" applyAlignment="1">
      <alignment horizontal="right"/>
    </xf>
    <xf numFmtId="0" fontId="24" fillId="0" borderId="0" xfId="2" applyFont="1" applyAlignment="1">
      <alignment horizontal="center"/>
    </xf>
    <xf numFmtId="14" fontId="24" fillId="0" borderId="23" xfId="2" applyNumberFormat="1" applyFont="1" applyBorder="1" applyAlignment="1"/>
    <xf numFmtId="0" fontId="24" fillId="0" borderId="23" xfId="2" applyFont="1" applyBorder="1" applyAlignment="1"/>
    <xf numFmtId="0" fontId="24" fillId="0" borderId="23" xfId="2" applyFont="1" applyBorder="1" applyAlignment="1">
      <alignment shrinkToFit="1"/>
    </xf>
    <xf numFmtId="1" fontId="24" fillId="0" borderId="23" xfId="2" applyNumberFormat="1" applyFont="1" applyBorder="1" applyAlignment="1"/>
    <xf numFmtId="0" fontId="24" fillId="0" borderId="23" xfId="2" applyFont="1" applyBorder="1" applyAlignment="1">
      <alignment horizontal="right"/>
    </xf>
    <xf numFmtId="14" fontId="24" fillId="0" borderId="0" xfId="2" applyNumberFormat="1" applyFont="1" applyAlignment="1">
      <alignment horizontal="left"/>
    </xf>
    <xf numFmtId="0" fontId="24" fillId="0" borderId="0" xfId="2" applyFont="1" applyAlignment="1">
      <alignment horizontal="right" shrinkToFit="1"/>
    </xf>
    <xf numFmtId="1" fontId="24" fillId="0" borderId="0" xfId="2" applyNumberFormat="1" applyFont="1" applyAlignment="1">
      <alignment horizontal="right"/>
    </xf>
    <xf numFmtId="2" fontId="24" fillId="0" borderId="0" xfId="2" applyNumberFormat="1" applyFont="1" applyAlignment="1"/>
    <xf numFmtId="14" fontId="24" fillId="0" borderId="0" xfId="1" applyNumberFormat="1" applyFont="1"/>
    <xf numFmtId="1" fontId="24" fillId="0" borderId="0" xfId="1" applyNumberFormat="1" applyFont="1"/>
    <xf numFmtId="0" fontId="24" fillId="0" borderId="0" xfId="1" applyFont="1"/>
    <xf numFmtId="0" fontId="23" fillId="0" borderId="37" xfId="1" applyFont="1" applyBorder="1" applyAlignment="1">
      <alignment horizontal="centerContinuous"/>
    </xf>
    <xf numFmtId="1" fontId="23" fillId="0" borderId="37" xfId="1" applyNumberFormat="1" applyFont="1" applyBorder="1" applyAlignment="1">
      <alignment horizontal="centerContinuous"/>
    </xf>
    <xf numFmtId="0" fontId="24" fillId="0" borderId="37" xfId="1" applyFont="1" applyBorder="1" applyAlignment="1">
      <alignment horizontal="centerContinuous"/>
    </xf>
    <xf numFmtId="0" fontId="24" fillId="0" borderId="0" xfId="1" applyFont="1" applyAlignment="1">
      <alignment horizontal="right"/>
    </xf>
    <xf numFmtId="0" fontId="24" fillId="0" borderId="0" xfId="1" applyFont="1" applyAlignment="1">
      <alignment horizontal="center"/>
    </xf>
    <xf numFmtId="14" fontId="24" fillId="0" borderId="23" xfId="1" applyNumberFormat="1" applyFont="1" applyBorder="1"/>
    <xf numFmtId="0" fontId="24" fillId="0" borderId="23" xfId="1" applyFont="1" applyBorder="1"/>
    <xf numFmtId="1" fontId="24" fillId="0" borderId="23" xfId="1" applyNumberFormat="1" applyFont="1" applyBorder="1"/>
    <xf numFmtId="0" fontId="24" fillId="0" borderId="23" xfId="1" applyFont="1" applyBorder="1" applyAlignment="1">
      <alignment horizontal="right"/>
    </xf>
    <xf numFmtId="14" fontId="24" fillId="0" borderId="23" xfId="1" applyNumberFormat="1" applyFont="1" applyBorder="1" applyAlignment="1">
      <alignment horizontal="left"/>
    </xf>
    <xf numFmtId="0" fontId="24" fillId="0" borderId="23" xfId="1" applyFont="1" applyBorder="1" applyAlignment="1">
      <alignment vertical="center"/>
    </xf>
    <xf numFmtId="2" fontId="24" fillId="0" borderId="23" xfId="1" applyNumberFormat="1" applyFont="1" applyBorder="1"/>
    <xf numFmtId="1" fontId="24" fillId="0" borderId="23" xfId="1" applyNumberFormat="1" applyFont="1" applyBorder="1" applyAlignment="1">
      <alignment horizontal="right"/>
    </xf>
    <xf numFmtId="176" fontId="8" fillId="0" borderId="30" xfId="0" applyNumberFormat="1" applyFont="1" applyFill="1" applyBorder="1" applyAlignment="1">
      <alignment horizontal="center" vertical="center" shrinkToFit="1"/>
    </xf>
    <xf numFmtId="0" fontId="15" fillId="0" borderId="20" xfId="0" applyFont="1" applyFill="1" applyBorder="1" applyAlignment="1">
      <alignment shrinkToFit="1"/>
    </xf>
    <xf numFmtId="0" fontId="21" fillId="3" borderId="0" xfId="0" applyFont="1" applyFill="1">
      <alignment vertical="center"/>
    </xf>
    <xf numFmtId="0" fontId="26" fillId="0" borderId="0" xfId="1" applyFont="1" applyBorder="1"/>
    <xf numFmtId="0" fontId="21" fillId="3" borderId="0" xfId="1" applyFont="1" applyFill="1" applyBorder="1"/>
    <xf numFmtId="0" fontId="21" fillId="4" borderId="0" xfId="0" applyFont="1" applyFill="1">
      <alignment vertical="center"/>
    </xf>
    <xf numFmtId="0" fontId="18" fillId="0" borderId="12" xfId="0" applyFont="1" applyFill="1" applyBorder="1" applyAlignment="1">
      <alignment horizontal="center" vertical="center"/>
    </xf>
    <xf numFmtId="0" fontId="18" fillId="0" borderId="13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 wrapText="1"/>
    </xf>
    <xf numFmtId="0" fontId="18" fillId="0" borderId="2" xfId="0" applyFont="1" applyFill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8" fillId="0" borderId="5" xfId="0" applyFont="1" applyFill="1" applyBorder="1" applyAlignment="1">
      <alignment horizontal="center" vertical="center"/>
    </xf>
    <xf numFmtId="0" fontId="18" fillId="0" borderId="16" xfId="0" applyFont="1" applyFill="1" applyBorder="1" applyAlignment="1">
      <alignment horizontal="center" vertical="center"/>
    </xf>
    <xf numFmtId="0" fontId="18" fillId="0" borderId="34" xfId="0" applyFont="1" applyFill="1" applyBorder="1" applyAlignment="1">
      <alignment horizontal="center" vertical="center"/>
    </xf>
  </cellXfs>
  <cellStyles count="3">
    <cellStyle name="標準" xfId="0" builtinId="0"/>
    <cellStyle name="標準 2" xfId="1" xr:uid="{BD78F100-E30B-4F7F-AC62-35C656B30743}"/>
    <cellStyle name="標準 3" xfId="2" xr:uid="{4F6E775B-D837-4B11-9B74-54EB962EC7C7}"/>
  </cellStyles>
  <dxfs count="250">
    <dxf>
      <font>
        <b val="0"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124581</xdr:colOff>
      <xdr:row>54</xdr:row>
      <xdr:rowOff>131990</xdr:rowOff>
    </xdr:from>
    <xdr:to>
      <xdr:col>12</xdr:col>
      <xdr:colOff>617972</xdr:colOff>
      <xdr:row>61</xdr:row>
      <xdr:rowOff>134605</xdr:rowOff>
    </xdr:to>
    <xdr:pic>
      <xdr:nvPicPr>
        <xdr:cNvPr id="60" name="図 59">
          <a:extLst>
            <a:ext uri="{FF2B5EF4-FFF2-40B4-BE49-F238E27FC236}">
              <a16:creationId xmlns:a16="http://schemas.microsoft.com/office/drawing/2014/main" id="{2518A4FE-E3E1-4101-A040-1B7BA49E4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4923" y="13587306"/>
          <a:ext cx="4433733" cy="1687036"/>
        </a:xfrm>
        <a:prstGeom prst="rect">
          <a:avLst/>
        </a:prstGeom>
      </xdr:spPr>
    </xdr:pic>
    <xdr:clientData/>
  </xdr:twoCellAnchor>
  <xdr:twoCellAnchor editAs="oneCell">
    <xdr:from>
      <xdr:col>6</xdr:col>
      <xdr:colOff>123825</xdr:colOff>
      <xdr:row>50</xdr:row>
      <xdr:rowOff>68036</xdr:rowOff>
    </xdr:from>
    <xdr:to>
      <xdr:col>15</xdr:col>
      <xdr:colOff>455351</xdr:colOff>
      <xdr:row>54</xdr:row>
      <xdr:rowOff>28703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890D2764-9631-4A4D-ADB5-3FBCDD12D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67175" y="12450536"/>
          <a:ext cx="6246551" cy="913167"/>
        </a:xfrm>
        <a:prstGeom prst="rect">
          <a:avLst/>
        </a:prstGeom>
      </xdr:spPr>
    </xdr:pic>
    <xdr:clientData/>
  </xdr:twoCellAnchor>
  <xdr:twoCellAnchor editAs="oneCell">
    <xdr:from>
      <xdr:col>6</xdr:col>
      <xdr:colOff>131989</xdr:colOff>
      <xdr:row>36</xdr:row>
      <xdr:rowOff>28576</xdr:rowOff>
    </xdr:from>
    <xdr:to>
      <xdr:col>22</xdr:col>
      <xdr:colOff>190522</xdr:colOff>
      <xdr:row>41</xdr:row>
      <xdr:rowOff>54429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FF3F3A81-DA26-4FB4-933A-0AE65303E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75339" y="8963026"/>
          <a:ext cx="10574133" cy="1216478"/>
        </a:xfrm>
        <a:prstGeom prst="rect">
          <a:avLst/>
        </a:prstGeom>
      </xdr:spPr>
    </xdr:pic>
    <xdr:clientData/>
  </xdr:twoCellAnchor>
  <xdr:twoCellAnchor editAs="oneCell">
    <xdr:from>
      <xdr:col>15</xdr:col>
      <xdr:colOff>206829</xdr:colOff>
      <xdr:row>7</xdr:row>
      <xdr:rowOff>152400</xdr:rowOff>
    </xdr:from>
    <xdr:to>
      <xdr:col>27</xdr:col>
      <xdr:colOff>389211</xdr:colOff>
      <xdr:row>9</xdr:row>
      <xdr:rowOff>125183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EC5431E2-9F9C-40CF-AFA1-0A64620FA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65204" y="1933575"/>
          <a:ext cx="8069085" cy="449036"/>
        </a:xfrm>
        <a:prstGeom prst="rect">
          <a:avLst/>
        </a:prstGeom>
      </xdr:spPr>
    </xdr:pic>
    <xdr:clientData/>
  </xdr:twoCellAnchor>
  <xdr:twoCellAnchor editAs="oneCell">
    <xdr:from>
      <xdr:col>6</xdr:col>
      <xdr:colOff>219075</xdr:colOff>
      <xdr:row>6</xdr:row>
      <xdr:rowOff>9525</xdr:rowOff>
    </xdr:from>
    <xdr:to>
      <xdr:col>10</xdr:col>
      <xdr:colOff>49977</xdr:colOff>
      <xdr:row>10</xdr:row>
      <xdr:rowOff>47622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4A026235-A1DD-431E-8547-2E2CF6271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62425" y="1552575"/>
          <a:ext cx="2459805" cy="990600"/>
        </a:xfrm>
        <a:prstGeom prst="rect">
          <a:avLst/>
        </a:prstGeom>
      </xdr:spPr>
    </xdr:pic>
    <xdr:clientData/>
  </xdr:twoCellAnchor>
  <xdr:twoCellAnchor editAs="oneCell">
    <xdr:from>
      <xdr:col>6</xdr:col>
      <xdr:colOff>152798</xdr:colOff>
      <xdr:row>16</xdr:row>
      <xdr:rowOff>145116</xdr:rowOff>
    </xdr:from>
    <xdr:to>
      <xdr:col>16</xdr:col>
      <xdr:colOff>627459</xdr:colOff>
      <xdr:row>32</xdr:row>
      <xdr:rowOff>88282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37A87061-8292-4CD5-8D6B-0AAD60500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19680" y="4022351"/>
          <a:ext cx="7086132" cy="3708346"/>
        </a:xfrm>
        <a:prstGeom prst="rect">
          <a:avLst/>
        </a:prstGeom>
      </xdr:spPr>
    </xdr:pic>
    <xdr:clientData/>
  </xdr:twoCellAnchor>
  <xdr:twoCellAnchor>
    <xdr:from>
      <xdr:col>16</xdr:col>
      <xdr:colOff>429047</xdr:colOff>
      <xdr:row>4</xdr:row>
      <xdr:rowOff>46264</xdr:rowOff>
    </xdr:from>
    <xdr:to>
      <xdr:col>23</xdr:col>
      <xdr:colOff>627188</xdr:colOff>
      <xdr:row>8</xdr:row>
      <xdr:rowOff>26139</xdr:rowOff>
    </xdr:to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3E7C6295-1BF2-4D3E-BE0C-6A0BF72F5AA4}"/>
            </a:ext>
          </a:extLst>
        </xdr:cNvPr>
        <xdr:cNvSpPr txBox="1"/>
      </xdr:nvSpPr>
      <xdr:spPr>
        <a:xfrm>
          <a:off x="10944647" y="1113064"/>
          <a:ext cx="4798716" cy="932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 b="1">
              <a:solidFill>
                <a:srgbClr val="FF0000"/>
              </a:solidFill>
            </a:rPr>
            <a:t>マクロ実行後シート名の（）内</a:t>
          </a:r>
          <a:r>
            <a:rPr kumimoji="1" lang="ja-JP" altLang="en-US" sz="1400" b="1">
              <a:solidFill>
                <a:schemeClr val="accent5">
                  <a:lumMod val="50000"/>
                </a:schemeClr>
              </a:solidFill>
            </a:rPr>
            <a:t>が、</a:t>
          </a:r>
          <a:endParaRPr kumimoji="1" lang="en-US" altLang="ja-JP" sz="1400" b="1">
            <a:solidFill>
              <a:schemeClr val="accent5">
                <a:lumMod val="50000"/>
              </a:schemeClr>
            </a:solidFill>
          </a:endParaRPr>
        </a:p>
        <a:p>
          <a:r>
            <a:rPr kumimoji="1" lang="en-US" altLang="ja-JP" sz="1400" b="1">
              <a:solidFill>
                <a:srgbClr val="FF0000"/>
              </a:solidFill>
            </a:rPr>
            <a:t>A</a:t>
          </a:r>
          <a:r>
            <a:rPr kumimoji="1" lang="ja-JP" altLang="en-US" sz="1400" b="1">
              <a:solidFill>
                <a:srgbClr val="FF0000"/>
              </a:solidFill>
            </a:rPr>
            <a:t>列”店舗名”</a:t>
          </a:r>
          <a:r>
            <a:rPr kumimoji="1" lang="ja-JP" altLang="en-US" sz="1400" b="1">
              <a:solidFill>
                <a:schemeClr val="accent5">
                  <a:lumMod val="50000"/>
                </a:schemeClr>
              </a:solidFill>
            </a:rPr>
            <a:t>になります。</a:t>
          </a:r>
        </a:p>
      </xdr:txBody>
    </xdr:sp>
    <xdr:clientData/>
  </xdr:twoCellAnchor>
  <xdr:twoCellAnchor>
    <xdr:from>
      <xdr:col>18</xdr:col>
      <xdr:colOff>399243</xdr:colOff>
      <xdr:row>18</xdr:row>
      <xdr:rowOff>169736</xdr:rowOff>
    </xdr:from>
    <xdr:to>
      <xdr:col>27</xdr:col>
      <xdr:colOff>159204</xdr:colOff>
      <xdr:row>21</xdr:row>
      <xdr:rowOff>191861</xdr:rowOff>
    </xdr:to>
    <xdr:sp macro="" textlink="">
      <xdr:nvSpPr>
        <xdr:cNvPr id="52" name="四角形: 角を丸くする 51">
          <a:extLst>
            <a:ext uri="{FF2B5EF4-FFF2-40B4-BE49-F238E27FC236}">
              <a16:creationId xmlns:a16="http://schemas.microsoft.com/office/drawing/2014/main" id="{1E1DF902-BE79-4C73-8D22-FB3FEE146136}"/>
            </a:ext>
          </a:extLst>
        </xdr:cNvPr>
        <xdr:cNvSpPr/>
      </xdr:nvSpPr>
      <xdr:spPr>
        <a:xfrm>
          <a:off x="12229293" y="4570286"/>
          <a:ext cx="5674986" cy="736500"/>
        </a:xfrm>
        <a:prstGeom prst="roundRect">
          <a:avLst>
            <a:gd name="adj" fmla="val 4714"/>
          </a:avLst>
        </a:prstGeom>
        <a:solidFill>
          <a:srgbClr val="C00000">
            <a:alpha val="43000"/>
          </a:srgbClr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b="1"/>
            <a:t>数量や単価列に</a:t>
          </a:r>
          <a:r>
            <a:rPr kumimoji="1" lang="en-US" altLang="ja-JP" sz="1400" b="1"/>
            <a:t>"#N/A"</a:t>
          </a:r>
          <a:r>
            <a:rPr kumimoji="1" lang="ja-JP" altLang="en-US" sz="1400" b="1"/>
            <a:t>があると、マクロが上手く回りません。</a:t>
          </a:r>
          <a:endParaRPr kumimoji="1" lang="en-US" altLang="ja-JP" sz="1400" b="1"/>
        </a:p>
        <a:p>
          <a:pPr algn="l"/>
          <a:r>
            <a:rPr kumimoji="1" lang="ja-JP" altLang="en-US" sz="1400" b="1"/>
            <a:t>削除するか、０の代入をお願い致します。</a:t>
          </a:r>
        </a:p>
      </xdr:txBody>
    </xdr:sp>
    <xdr:clientData/>
  </xdr:twoCellAnchor>
  <xdr:twoCellAnchor>
    <xdr:from>
      <xdr:col>2</xdr:col>
      <xdr:colOff>400708</xdr:colOff>
      <xdr:row>2</xdr:row>
      <xdr:rowOff>19709</xdr:rowOff>
    </xdr:from>
    <xdr:to>
      <xdr:col>4</xdr:col>
      <xdr:colOff>173935</xdr:colOff>
      <xdr:row>3</xdr:row>
      <xdr:rowOff>126406</xdr:rowOff>
    </xdr:to>
    <xdr:sp macro="[0]!transfer_ordersheet.transfer_ordershe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B60E212F-02AF-4268-973D-067A9393DDE5}"/>
            </a:ext>
          </a:extLst>
        </xdr:cNvPr>
        <xdr:cNvSpPr/>
      </xdr:nvSpPr>
      <xdr:spPr>
        <a:xfrm>
          <a:off x="1709360" y="632622"/>
          <a:ext cx="1081879" cy="404871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/>
            <a:t>発注書転記</a:t>
          </a:r>
        </a:p>
      </xdr:txBody>
    </xdr:sp>
    <xdr:clientData/>
  </xdr:twoCellAnchor>
  <xdr:twoCellAnchor>
    <xdr:from>
      <xdr:col>15</xdr:col>
      <xdr:colOff>648713</xdr:colOff>
      <xdr:row>37</xdr:row>
      <xdr:rowOff>151401</xdr:rowOff>
    </xdr:from>
    <xdr:to>
      <xdr:col>21</xdr:col>
      <xdr:colOff>190500</xdr:colOff>
      <xdr:row>39</xdr:row>
      <xdr:rowOff>142875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52D13B56-85D8-4CF9-9090-CA75387375C0}"/>
            </a:ext>
          </a:extLst>
        </xdr:cNvPr>
        <xdr:cNvSpPr/>
      </xdr:nvSpPr>
      <xdr:spPr>
        <a:xfrm>
          <a:off x="10507088" y="9323976"/>
          <a:ext cx="3485137" cy="467724"/>
        </a:xfrm>
        <a:prstGeom prst="roundRect">
          <a:avLst>
            <a:gd name="adj" fmla="val 25309"/>
          </a:avLst>
        </a:prstGeom>
        <a:solidFill>
          <a:schemeClr val="accent1">
            <a:alpha val="3300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169098</xdr:colOff>
      <xdr:row>36</xdr:row>
      <xdr:rowOff>83893</xdr:rowOff>
    </xdr:from>
    <xdr:to>
      <xdr:col>17</xdr:col>
      <xdr:colOff>521408</xdr:colOff>
      <xdr:row>37</xdr:row>
      <xdr:rowOff>112378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22819FFA-3A87-49B9-AFC7-E9F1D0ED373B}"/>
            </a:ext>
          </a:extLst>
        </xdr:cNvPr>
        <xdr:cNvCxnSpPr/>
      </xdr:nvCxnSpPr>
      <xdr:spPr>
        <a:xfrm flipV="1">
          <a:off x="11341923" y="9018343"/>
          <a:ext cx="352310" cy="26661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522773</xdr:colOff>
      <xdr:row>36</xdr:row>
      <xdr:rowOff>66675</xdr:rowOff>
    </xdr:from>
    <xdr:to>
      <xdr:col>24</xdr:col>
      <xdr:colOff>190500</xdr:colOff>
      <xdr:row>36</xdr:row>
      <xdr:rowOff>78396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1ECDE3F7-EBF4-4E8D-8EB7-B0B6FF7593F7}"/>
            </a:ext>
          </a:extLst>
        </xdr:cNvPr>
        <xdr:cNvCxnSpPr/>
      </xdr:nvCxnSpPr>
      <xdr:spPr>
        <a:xfrm flipV="1">
          <a:off x="11695598" y="9001125"/>
          <a:ext cx="4268302" cy="11721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477612</xdr:colOff>
      <xdr:row>33</xdr:row>
      <xdr:rowOff>197304</xdr:rowOff>
    </xdr:from>
    <xdr:to>
      <xdr:col>24</xdr:col>
      <xdr:colOff>438150</xdr:colOff>
      <xdr:row>36</xdr:row>
      <xdr:rowOff>126546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50E74C6D-F082-4A7F-B94B-2ADB4AF9182B}"/>
            </a:ext>
          </a:extLst>
        </xdr:cNvPr>
        <xdr:cNvSpPr txBox="1"/>
      </xdr:nvSpPr>
      <xdr:spPr>
        <a:xfrm>
          <a:off x="11650437" y="8360229"/>
          <a:ext cx="4561113" cy="7007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 b="1">
              <a:solidFill>
                <a:schemeClr val="accent5">
                  <a:lumMod val="50000"/>
                </a:schemeClr>
              </a:solidFill>
            </a:rPr>
            <a:t>発注書シートの納品日といずれにも該当しない場合、</a:t>
          </a:r>
          <a:endParaRPr kumimoji="1" lang="en-US" altLang="ja-JP" sz="1400" b="1">
            <a:solidFill>
              <a:schemeClr val="accent5">
                <a:lumMod val="50000"/>
              </a:schemeClr>
            </a:solidFill>
          </a:endParaRPr>
        </a:p>
        <a:p>
          <a:r>
            <a:rPr kumimoji="1" lang="ja-JP" altLang="en-US" sz="1400" b="1">
              <a:solidFill>
                <a:schemeClr val="accent5">
                  <a:lumMod val="50000"/>
                </a:schemeClr>
              </a:solidFill>
            </a:rPr>
            <a:t>転記出来ません。</a:t>
          </a:r>
        </a:p>
      </xdr:txBody>
    </xdr:sp>
    <xdr:clientData/>
  </xdr:twoCellAnchor>
  <xdr:twoCellAnchor>
    <xdr:from>
      <xdr:col>7</xdr:col>
      <xdr:colOff>78442</xdr:colOff>
      <xdr:row>31</xdr:row>
      <xdr:rowOff>123311</xdr:rowOff>
    </xdr:from>
    <xdr:to>
      <xdr:col>8</xdr:col>
      <xdr:colOff>102214</xdr:colOff>
      <xdr:row>32</xdr:row>
      <xdr:rowOff>78441</xdr:rowOff>
    </xdr:to>
    <xdr:sp macro="" textlink="">
      <xdr:nvSpPr>
        <xdr:cNvPr id="13" name="四角形: 角を丸くする 12">
          <a:extLst>
            <a:ext uri="{FF2B5EF4-FFF2-40B4-BE49-F238E27FC236}">
              <a16:creationId xmlns:a16="http://schemas.microsoft.com/office/drawing/2014/main" id="{27EC3AED-5A33-4932-A28B-533359FFDB41}"/>
            </a:ext>
          </a:extLst>
        </xdr:cNvPr>
        <xdr:cNvSpPr/>
      </xdr:nvSpPr>
      <xdr:spPr>
        <a:xfrm>
          <a:off x="4706471" y="7530399"/>
          <a:ext cx="684919" cy="190454"/>
        </a:xfrm>
        <a:prstGeom prst="roundRect">
          <a:avLst>
            <a:gd name="adj" fmla="val 25309"/>
          </a:avLst>
        </a:prstGeom>
        <a:solidFill>
          <a:schemeClr val="accent1">
            <a:alpha val="3300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446693</xdr:colOff>
      <xdr:row>30</xdr:row>
      <xdr:rowOff>45993</xdr:rowOff>
    </xdr:from>
    <xdr:to>
      <xdr:col>14</xdr:col>
      <xdr:colOff>9525</xdr:colOff>
      <xdr:row>31</xdr:row>
      <xdr:rowOff>124284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1D13770D-6BF0-44E8-9FD8-D064E84CE832}"/>
            </a:ext>
          </a:extLst>
        </xdr:cNvPr>
        <xdr:cNvGrpSpPr/>
      </xdr:nvGrpSpPr>
      <xdr:grpSpPr>
        <a:xfrm>
          <a:off x="5048629" y="7498625"/>
          <a:ext cx="4160685" cy="310973"/>
          <a:chOff x="3392660" y="3360906"/>
          <a:chExt cx="4964854" cy="250373"/>
        </a:xfrm>
      </xdr:grpSpPr>
      <xdr:cxnSp macro="">
        <xdr:nvCxnSpPr>
          <xdr:cNvPr id="14" name="直線コネクタ 13">
            <a:extLst>
              <a:ext uri="{FF2B5EF4-FFF2-40B4-BE49-F238E27FC236}">
                <a16:creationId xmlns:a16="http://schemas.microsoft.com/office/drawing/2014/main" id="{C52C8263-4CEF-43FF-9200-B73E739A59CC}"/>
              </a:ext>
            </a:extLst>
          </xdr:cNvPr>
          <xdr:cNvCxnSpPr/>
        </xdr:nvCxnSpPr>
        <xdr:spPr>
          <a:xfrm flipV="1">
            <a:off x="3392660" y="3360906"/>
            <a:ext cx="357867" cy="250373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線コネクタ 14">
            <a:extLst>
              <a:ext uri="{FF2B5EF4-FFF2-40B4-BE49-F238E27FC236}">
                <a16:creationId xmlns:a16="http://schemas.microsoft.com/office/drawing/2014/main" id="{75178AE5-D9D1-4BE4-B253-44995C8F6651}"/>
              </a:ext>
            </a:extLst>
          </xdr:cNvPr>
          <xdr:cNvCxnSpPr/>
        </xdr:nvCxnSpPr>
        <xdr:spPr>
          <a:xfrm>
            <a:off x="3737890" y="3366790"/>
            <a:ext cx="4619624" cy="0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113356</xdr:colOff>
      <xdr:row>27</xdr:row>
      <xdr:rowOff>102106</xdr:rowOff>
    </xdr:from>
    <xdr:to>
      <xdr:col>14</xdr:col>
      <xdr:colOff>284390</xdr:colOff>
      <xdr:row>31</xdr:row>
      <xdr:rowOff>85725</xdr:rowOff>
    </xdr:to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BFF1064D-C857-44FC-BB28-F27179C94582}"/>
            </a:ext>
          </a:extLst>
        </xdr:cNvPr>
        <xdr:cNvSpPr txBox="1"/>
      </xdr:nvSpPr>
      <xdr:spPr>
        <a:xfrm>
          <a:off x="5371156" y="6645781"/>
          <a:ext cx="4114384" cy="9361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 b="1">
              <a:solidFill>
                <a:schemeClr val="accent5">
                  <a:lumMod val="50000"/>
                </a:schemeClr>
              </a:solidFill>
            </a:rPr>
            <a:t>シート名は①で記載頂いた</a:t>
          </a:r>
          <a:r>
            <a:rPr kumimoji="1" lang="en-US" altLang="ja-JP" sz="1400" b="1">
              <a:solidFill>
                <a:srgbClr val="FF0000"/>
              </a:solidFill>
            </a:rPr>
            <a:t>B</a:t>
          </a:r>
          <a:r>
            <a:rPr kumimoji="1" lang="ja-JP" altLang="en-US" sz="1400" b="1">
              <a:solidFill>
                <a:srgbClr val="FF0000"/>
              </a:solidFill>
            </a:rPr>
            <a:t>列’シート名’</a:t>
          </a:r>
          <a:r>
            <a:rPr kumimoji="1" lang="ja-JP" altLang="en-US" sz="1400" b="1">
              <a:solidFill>
                <a:schemeClr val="accent5">
                  <a:lumMod val="50000"/>
                </a:schemeClr>
              </a:solidFill>
            </a:rPr>
            <a:t>の</a:t>
          </a:r>
          <a:endParaRPr kumimoji="1" lang="en-US" altLang="ja-JP" sz="1400" b="1">
            <a:solidFill>
              <a:schemeClr val="accent5">
                <a:lumMod val="50000"/>
              </a:schemeClr>
            </a:solidFill>
          </a:endParaRPr>
        </a:p>
        <a:p>
          <a:r>
            <a:rPr kumimoji="1" lang="ja-JP" altLang="en-US" sz="1400" b="1">
              <a:solidFill>
                <a:schemeClr val="accent5">
                  <a:lumMod val="50000"/>
                </a:schemeClr>
              </a:solidFill>
            </a:rPr>
            <a:t>文字列を含む名称として下さい。</a:t>
          </a:r>
        </a:p>
      </xdr:txBody>
    </xdr:sp>
    <xdr:clientData/>
  </xdr:twoCellAnchor>
  <xdr:twoCellAnchor>
    <xdr:from>
      <xdr:col>6</xdr:col>
      <xdr:colOff>179615</xdr:colOff>
      <xdr:row>8</xdr:row>
      <xdr:rowOff>39459</xdr:rowOff>
    </xdr:from>
    <xdr:to>
      <xdr:col>10</xdr:col>
      <xdr:colOff>76200</xdr:colOff>
      <xdr:row>10</xdr:row>
      <xdr:rowOff>47624</xdr:rowOff>
    </xdr:to>
    <xdr:sp macro="" textlink="">
      <xdr:nvSpPr>
        <xdr:cNvPr id="27" name="四角形: 角を丸くする 26">
          <a:extLst>
            <a:ext uri="{FF2B5EF4-FFF2-40B4-BE49-F238E27FC236}">
              <a16:creationId xmlns:a16="http://schemas.microsoft.com/office/drawing/2014/main" id="{AD942BFF-B86C-4369-B2CB-5A1B1FD3AA9B}"/>
            </a:ext>
          </a:extLst>
        </xdr:cNvPr>
        <xdr:cNvSpPr/>
      </xdr:nvSpPr>
      <xdr:spPr>
        <a:xfrm>
          <a:off x="4122965" y="2058759"/>
          <a:ext cx="2525485" cy="484415"/>
        </a:xfrm>
        <a:prstGeom prst="roundRect">
          <a:avLst>
            <a:gd name="adj" fmla="val 25309"/>
          </a:avLst>
        </a:prstGeom>
        <a:solidFill>
          <a:schemeClr val="accent1">
            <a:alpha val="3300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47625</xdr:colOff>
      <xdr:row>11</xdr:row>
      <xdr:rowOff>46265</xdr:rowOff>
    </xdr:from>
    <xdr:to>
      <xdr:col>15</xdr:col>
      <xdr:colOff>246289</xdr:colOff>
      <xdr:row>12</xdr:row>
      <xdr:rowOff>151037</xdr:rowOff>
    </xdr:to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905B2EC7-BC7F-4535-88CC-21D6FFDD3F7C}"/>
            </a:ext>
          </a:extLst>
        </xdr:cNvPr>
        <xdr:cNvSpPr txBox="1"/>
      </xdr:nvSpPr>
      <xdr:spPr>
        <a:xfrm>
          <a:off x="5305425" y="2779940"/>
          <a:ext cx="4799239" cy="3428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 b="1">
              <a:solidFill>
                <a:schemeClr val="accent5">
                  <a:lumMod val="50000"/>
                </a:schemeClr>
              </a:solidFill>
            </a:rPr>
            <a:t>店舗名に</a:t>
          </a:r>
          <a:r>
            <a:rPr kumimoji="1" lang="en-US" altLang="ja-JP" sz="1400" b="1">
              <a:solidFill>
                <a:schemeClr val="accent5">
                  <a:lumMod val="50000"/>
                </a:schemeClr>
              </a:solidFill>
            </a:rPr>
            <a:t>X</a:t>
          </a:r>
          <a:r>
            <a:rPr kumimoji="1" lang="ja-JP" altLang="en-US" sz="1400" b="1">
              <a:solidFill>
                <a:schemeClr val="accent5">
                  <a:lumMod val="50000"/>
                </a:schemeClr>
              </a:solidFill>
            </a:rPr>
            <a:t>店舗、シート名に</a:t>
          </a:r>
          <a:r>
            <a:rPr kumimoji="1" lang="en-US" altLang="ja-JP" sz="1400" b="1">
              <a:solidFill>
                <a:schemeClr val="accent5">
                  <a:lumMod val="50000"/>
                </a:schemeClr>
              </a:solidFill>
            </a:rPr>
            <a:t>XST</a:t>
          </a:r>
          <a:r>
            <a:rPr kumimoji="1" lang="ja-JP" altLang="en-US" sz="1400" b="1">
              <a:solidFill>
                <a:schemeClr val="accent5">
                  <a:lumMod val="50000"/>
                </a:schemeClr>
              </a:solidFill>
            </a:rPr>
            <a:t>と記入</a:t>
          </a:r>
        </a:p>
      </xdr:txBody>
    </xdr:sp>
    <xdr:clientData/>
  </xdr:twoCellAnchor>
  <xdr:twoCellAnchor>
    <xdr:from>
      <xdr:col>7</xdr:col>
      <xdr:colOff>455838</xdr:colOff>
      <xdr:row>10</xdr:row>
      <xdr:rowOff>112939</xdr:rowOff>
    </xdr:from>
    <xdr:to>
      <xdr:col>14</xdr:col>
      <xdr:colOff>160563</xdr:colOff>
      <xdr:row>13</xdr:row>
      <xdr:rowOff>161925</xdr:rowOff>
    </xdr:to>
    <xdr:grpSp>
      <xdr:nvGrpSpPr>
        <xdr:cNvPr id="31" name="グループ化 30">
          <a:extLst>
            <a:ext uri="{FF2B5EF4-FFF2-40B4-BE49-F238E27FC236}">
              <a16:creationId xmlns:a16="http://schemas.microsoft.com/office/drawing/2014/main" id="{8F491722-E56F-46B7-842C-2D7963994634}"/>
            </a:ext>
          </a:extLst>
        </xdr:cNvPr>
        <xdr:cNvGrpSpPr/>
      </xdr:nvGrpSpPr>
      <xdr:grpSpPr>
        <a:xfrm flipV="1">
          <a:off x="5056413" y="2741839"/>
          <a:ext cx="4309382" cy="762000"/>
          <a:chOff x="3392660" y="3360906"/>
          <a:chExt cx="4958442" cy="250373"/>
        </a:xfrm>
      </xdr:grpSpPr>
      <xdr:cxnSp macro="">
        <xdr:nvCxnSpPr>
          <xdr:cNvPr id="32" name="直線コネクタ 31">
            <a:extLst>
              <a:ext uri="{FF2B5EF4-FFF2-40B4-BE49-F238E27FC236}">
                <a16:creationId xmlns:a16="http://schemas.microsoft.com/office/drawing/2014/main" id="{FBD7DE1E-452E-4E98-8C81-489CF489BDC5}"/>
              </a:ext>
            </a:extLst>
          </xdr:cNvPr>
          <xdr:cNvCxnSpPr/>
        </xdr:nvCxnSpPr>
        <xdr:spPr>
          <a:xfrm flipV="1">
            <a:off x="3392660" y="3360906"/>
            <a:ext cx="357867" cy="250373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直線コネクタ 32">
            <a:extLst>
              <a:ext uri="{FF2B5EF4-FFF2-40B4-BE49-F238E27FC236}">
                <a16:creationId xmlns:a16="http://schemas.microsoft.com/office/drawing/2014/main" id="{849DB850-35F7-4A7A-84D0-1D995F66B018}"/>
              </a:ext>
            </a:extLst>
          </xdr:cNvPr>
          <xdr:cNvCxnSpPr/>
        </xdr:nvCxnSpPr>
        <xdr:spPr>
          <a:xfrm>
            <a:off x="3731478" y="3360909"/>
            <a:ext cx="4619624" cy="0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2720</xdr:colOff>
      <xdr:row>12</xdr:row>
      <xdr:rowOff>73480</xdr:rowOff>
    </xdr:from>
    <xdr:to>
      <xdr:col>16</xdr:col>
      <xdr:colOff>555170</xdr:colOff>
      <xdr:row>13</xdr:row>
      <xdr:rowOff>180973</xdr:rowOff>
    </xdr:to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A3ECBC8E-6B81-4DA1-B85E-BA5949949709}"/>
            </a:ext>
          </a:extLst>
        </xdr:cNvPr>
        <xdr:cNvSpPr txBox="1"/>
      </xdr:nvSpPr>
      <xdr:spPr>
        <a:xfrm>
          <a:off x="5260520" y="3045280"/>
          <a:ext cx="5810250" cy="3456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400" b="1">
              <a:solidFill>
                <a:schemeClr val="accent5">
                  <a:lumMod val="50000"/>
                </a:schemeClr>
              </a:solidFill>
            </a:rPr>
            <a:t>※</a:t>
          </a:r>
          <a:r>
            <a:rPr kumimoji="1" lang="ja-JP" altLang="en-US" sz="1400" b="1">
              <a:solidFill>
                <a:schemeClr val="accent5">
                  <a:lumMod val="50000"/>
                </a:schemeClr>
              </a:solidFill>
            </a:rPr>
            <a:t>シート名は</a:t>
          </a:r>
          <a:r>
            <a:rPr kumimoji="1" lang="ja-JP" altLang="en-US" sz="1400" b="1">
              <a:solidFill>
                <a:srgbClr val="FF0000"/>
              </a:solidFill>
            </a:rPr>
            <a:t>発注書のシート名</a:t>
          </a:r>
          <a:r>
            <a:rPr kumimoji="1" lang="ja-JP" altLang="en-US" sz="1400" b="1">
              <a:solidFill>
                <a:schemeClr val="accent5">
                  <a:lumMod val="50000"/>
                </a:schemeClr>
              </a:solidFill>
            </a:rPr>
            <a:t>と合わせてください。</a:t>
          </a:r>
        </a:p>
      </xdr:txBody>
    </xdr:sp>
    <xdr:clientData/>
  </xdr:twoCellAnchor>
  <xdr:twoCellAnchor>
    <xdr:from>
      <xdr:col>14</xdr:col>
      <xdr:colOff>104776</xdr:colOff>
      <xdr:row>7</xdr:row>
      <xdr:rowOff>96610</xdr:rowOff>
    </xdr:from>
    <xdr:to>
      <xdr:col>14</xdr:col>
      <xdr:colOff>284390</xdr:colOff>
      <xdr:row>9</xdr:row>
      <xdr:rowOff>63954</xdr:rowOff>
    </xdr:to>
    <xdr:sp macro="" textlink="">
      <xdr:nvSpPr>
        <xdr:cNvPr id="35" name="二等辺三角形 34">
          <a:extLst>
            <a:ext uri="{FF2B5EF4-FFF2-40B4-BE49-F238E27FC236}">
              <a16:creationId xmlns:a16="http://schemas.microsoft.com/office/drawing/2014/main" id="{1980541D-38EE-4D72-8D89-14B7C53EFE60}"/>
            </a:ext>
          </a:extLst>
        </xdr:cNvPr>
        <xdr:cNvSpPr/>
      </xdr:nvSpPr>
      <xdr:spPr>
        <a:xfrm rot="5400000">
          <a:off x="8516711" y="2028825"/>
          <a:ext cx="443594" cy="179614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209550</xdr:colOff>
      <xdr:row>7</xdr:row>
      <xdr:rowOff>200023</xdr:rowOff>
    </xdr:from>
    <xdr:to>
      <xdr:col>17</xdr:col>
      <xdr:colOff>361950</xdr:colOff>
      <xdr:row>9</xdr:row>
      <xdr:rowOff>85724</xdr:rowOff>
    </xdr:to>
    <xdr:sp macro="" textlink="">
      <xdr:nvSpPr>
        <xdr:cNvPr id="38" name="四角形: 角を丸くする 37">
          <a:extLst>
            <a:ext uri="{FF2B5EF4-FFF2-40B4-BE49-F238E27FC236}">
              <a16:creationId xmlns:a16="http://schemas.microsoft.com/office/drawing/2014/main" id="{D48898C7-7282-439A-AB32-4978DC2249C0}"/>
            </a:ext>
          </a:extLst>
        </xdr:cNvPr>
        <xdr:cNvSpPr/>
      </xdr:nvSpPr>
      <xdr:spPr>
        <a:xfrm>
          <a:off x="10067925" y="1981198"/>
          <a:ext cx="1466850" cy="361951"/>
        </a:xfrm>
        <a:prstGeom prst="roundRect">
          <a:avLst>
            <a:gd name="adj" fmla="val 25309"/>
          </a:avLst>
        </a:prstGeom>
        <a:solidFill>
          <a:schemeClr val="accent1">
            <a:alpha val="3300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305569</xdr:colOff>
      <xdr:row>6</xdr:row>
      <xdr:rowOff>190500</xdr:rowOff>
    </xdr:from>
    <xdr:to>
      <xdr:col>20</xdr:col>
      <xdr:colOff>495300</xdr:colOff>
      <xdr:row>7</xdr:row>
      <xdr:rowOff>174170</xdr:rowOff>
    </xdr:to>
    <xdr:grpSp>
      <xdr:nvGrpSpPr>
        <xdr:cNvPr id="39" name="グループ化 38">
          <a:extLst>
            <a:ext uri="{FF2B5EF4-FFF2-40B4-BE49-F238E27FC236}">
              <a16:creationId xmlns:a16="http://schemas.microsoft.com/office/drawing/2014/main" id="{31C468A6-8847-45E9-ADFD-10EBECBCD29F}"/>
            </a:ext>
          </a:extLst>
        </xdr:cNvPr>
        <xdr:cNvGrpSpPr/>
      </xdr:nvGrpSpPr>
      <xdr:grpSpPr>
        <a:xfrm>
          <a:off x="10821169" y="1866900"/>
          <a:ext cx="2818631" cy="219074"/>
          <a:chOff x="3392660" y="3360906"/>
          <a:chExt cx="4958442" cy="250373"/>
        </a:xfrm>
      </xdr:grpSpPr>
      <xdr:cxnSp macro="">
        <xdr:nvCxnSpPr>
          <xdr:cNvPr id="40" name="直線コネクタ 39">
            <a:extLst>
              <a:ext uri="{FF2B5EF4-FFF2-40B4-BE49-F238E27FC236}">
                <a16:creationId xmlns:a16="http://schemas.microsoft.com/office/drawing/2014/main" id="{046B545B-00D0-4D96-A835-029A5750721D}"/>
              </a:ext>
            </a:extLst>
          </xdr:cNvPr>
          <xdr:cNvCxnSpPr/>
        </xdr:nvCxnSpPr>
        <xdr:spPr>
          <a:xfrm flipV="1">
            <a:off x="3392660" y="3360906"/>
            <a:ext cx="357867" cy="250373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直線コネクタ 40">
            <a:extLst>
              <a:ext uri="{FF2B5EF4-FFF2-40B4-BE49-F238E27FC236}">
                <a16:creationId xmlns:a16="http://schemas.microsoft.com/office/drawing/2014/main" id="{BE96B5F0-F68C-4134-BB47-B8D91001984D}"/>
              </a:ext>
            </a:extLst>
          </xdr:cNvPr>
          <xdr:cNvCxnSpPr/>
        </xdr:nvCxnSpPr>
        <xdr:spPr>
          <a:xfrm>
            <a:off x="3731478" y="3360909"/>
            <a:ext cx="4619624" cy="0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597354</xdr:colOff>
      <xdr:row>7</xdr:row>
      <xdr:rowOff>216590</xdr:rowOff>
    </xdr:from>
    <xdr:to>
      <xdr:col>25</xdr:col>
      <xdr:colOff>495300</xdr:colOff>
      <xdr:row>9</xdr:row>
      <xdr:rowOff>66675</xdr:rowOff>
    </xdr:to>
    <xdr:sp macro="" textlink="">
      <xdr:nvSpPr>
        <xdr:cNvPr id="43" name="四角形: 角を丸くする 42">
          <a:extLst>
            <a:ext uri="{FF2B5EF4-FFF2-40B4-BE49-F238E27FC236}">
              <a16:creationId xmlns:a16="http://schemas.microsoft.com/office/drawing/2014/main" id="{21159F17-1E59-4A0C-83BC-5619D21F6625}"/>
            </a:ext>
          </a:extLst>
        </xdr:cNvPr>
        <xdr:cNvSpPr/>
      </xdr:nvSpPr>
      <xdr:spPr>
        <a:xfrm>
          <a:off x="15713529" y="1997765"/>
          <a:ext cx="1212396" cy="326335"/>
        </a:xfrm>
        <a:prstGeom prst="roundRect">
          <a:avLst>
            <a:gd name="adj" fmla="val 25309"/>
          </a:avLst>
        </a:prstGeom>
        <a:solidFill>
          <a:schemeClr val="accent1">
            <a:alpha val="3300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561559</xdr:colOff>
      <xdr:row>9</xdr:row>
      <xdr:rowOff>180133</xdr:rowOff>
    </xdr:from>
    <xdr:to>
      <xdr:col>30</xdr:col>
      <xdr:colOff>49905</xdr:colOff>
      <xdr:row>12</xdr:row>
      <xdr:rowOff>159879</xdr:rowOff>
    </xdr:to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8CB7F18F-6FDE-4205-9589-1E140D20A5FF}"/>
            </a:ext>
          </a:extLst>
        </xdr:cNvPr>
        <xdr:cNvSpPr txBox="1"/>
      </xdr:nvSpPr>
      <xdr:spPr>
        <a:xfrm>
          <a:off x="16334959" y="2437558"/>
          <a:ext cx="3431696" cy="6941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400" b="1">
              <a:solidFill>
                <a:srgbClr val="FF0000"/>
              </a:solidFill>
            </a:rPr>
            <a:t>B</a:t>
          </a:r>
          <a:r>
            <a:rPr kumimoji="1" lang="ja-JP" altLang="en-US" sz="1400" b="1">
              <a:solidFill>
                <a:srgbClr val="FF0000"/>
              </a:solidFill>
            </a:rPr>
            <a:t>列</a:t>
          </a:r>
          <a:r>
            <a:rPr kumimoji="1" lang="en-US" altLang="ja-JP" sz="1400" b="1">
              <a:solidFill>
                <a:srgbClr val="FF0000"/>
              </a:solidFill>
            </a:rPr>
            <a:t>'</a:t>
          </a:r>
          <a:r>
            <a:rPr kumimoji="1" lang="ja-JP" altLang="en-US" sz="1400" b="1">
              <a:solidFill>
                <a:srgbClr val="FF0000"/>
              </a:solidFill>
            </a:rPr>
            <a:t>シート名</a:t>
          </a:r>
          <a:r>
            <a:rPr kumimoji="1" lang="en-US" altLang="ja-JP" sz="1400" b="1">
              <a:solidFill>
                <a:srgbClr val="FF0000"/>
              </a:solidFill>
            </a:rPr>
            <a:t>'</a:t>
          </a:r>
          <a:r>
            <a:rPr kumimoji="1" lang="ja-JP" altLang="en-US" sz="1400" b="1">
              <a:solidFill>
                <a:schemeClr val="accent5">
                  <a:lumMod val="50000"/>
                </a:schemeClr>
              </a:solidFill>
            </a:rPr>
            <a:t>が含まれているシートが、</a:t>
          </a:r>
          <a:endParaRPr kumimoji="1" lang="en-US" altLang="ja-JP" sz="1400" b="1">
            <a:solidFill>
              <a:schemeClr val="accent5">
                <a:lumMod val="50000"/>
              </a:schemeClr>
            </a:solidFill>
          </a:endParaRPr>
        </a:p>
        <a:p>
          <a:r>
            <a:rPr kumimoji="1" lang="ja-JP" altLang="en-US" sz="1400" b="1">
              <a:solidFill>
                <a:srgbClr val="FF0000"/>
              </a:solidFill>
            </a:rPr>
            <a:t>転記対象のシート</a:t>
          </a:r>
          <a:r>
            <a:rPr kumimoji="1" lang="ja-JP" altLang="en-US" sz="1400" b="1">
              <a:solidFill>
                <a:schemeClr val="accent5">
                  <a:lumMod val="50000"/>
                </a:schemeClr>
              </a:solidFill>
            </a:rPr>
            <a:t>になります。</a:t>
          </a:r>
        </a:p>
      </xdr:txBody>
    </xdr:sp>
    <xdr:clientData/>
  </xdr:twoCellAnchor>
  <xdr:twoCellAnchor>
    <xdr:from>
      <xdr:col>24</xdr:col>
      <xdr:colOff>382776</xdr:colOff>
      <xdr:row>9</xdr:row>
      <xdr:rowOff>125478</xdr:rowOff>
    </xdr:from>
    <xdr:to>
      <xdr:col>29</xdr:col>
      <xdr:colOff>428625</xdr:colOff>
      <xdr:row>12</xdr:row>
      <xdr:rowOff>152398</xdr:rowOff>
    </xdr:to>
    <xdr:grpSp>
      <xdr:nvGrpSpPr>
        <xdr:cNvPr id="46" name="グループ化 45">
          <a:extLst>
            <a:ext uri="{FF2B5EF4-FFF2-40B4-BE49-F238E27FC236}">
              <a16:creationId xmlns:a16="http://schemas.microsoft.com/office/drawing/2014/main" id="{FEE2A98B-6279-474D-8B7F-24524FC1940D}"/>
            </a:ext>
          </a:extLst>
        </xdr:cNvPr>
        <xdr:cNvGrpSpPr/>
      </xdr:nvGrpSpPr>
      <xdr:grpSpPr>
        <a:xfrm flipV="1">
          <a:off x="16156176" y="2514892"/>
          <a:ext cx="3330613" cy="742656"/>
          <a:chOff x="3392660" y="3360906"/>
          <a:chExt cx="4958442" cy="250373"/>
        </a:xfrm>
      </xdr:grpSpPr>
      <xdr:cxnSp macro="">
        <xdr:nvCxnSpPr>
          <xdr:cNvPr id="47" name="直線コネクタ 46">
            <a:extLst>
              <a:ext uri="{FF2B5EF4-FFF2-40B4-BE49-F238E27FC236}">
                <a16:creationId xmlns:a16="http://schemas.microsoft.com/office/drawing/2014/main" id="{E29F2C84-0506-4BA3-961E-E7EF06A39F78}"/>
              </a:ext>
            </a:extLst>
          </xdr:cNvPr>
          <xdr:cNvCxnSpPr/>
        </xdr:nvCxnSpPr>
        <xdr:spPr>
          <a:xfrm flipV="1">
            <a:off x="3392660" y="3360906"/>
            <a:ext cx="357867" cy="250373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直線コネクタ 47">
            <a:extLst>
              <a:ext uri="{FF2B5EF4-FFF2-40B4-BE49-F238E27FC236}">
                <a16:creationId xmlns:a16="http://schemas.microsoft.com/office/drawing/2014/main" id="{F67D565E-9380-4CBA-842C-E24367E0BB05}"/>
              </a:ext>
            </a:extLst>
          </xdr:cNvPr>
          <xdr:cNvCxnSpPr/>
        </xdr:nvCxnSpPr>
        <xdr:spPr>
          <a:xfrm>
            <a:off x="3731478" y="3360909"/>
            <a:ext cx="4619624" cy="0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571500</xdr:colOff>
      <xdr:row>17</xdr:row>
      <xdr:rowOff>0</xdr:rowOff>
    </xdr:from>
    <xdr:to>
      <xdr:col>19</xdr:col>
      <xdr:colOff>467878</xdr:colOff>
      <xdr:row>18</xdr:row>
      <xdr:rowOff>191861</xdr:rowOff>
    </xdr:to>
    <xdr:sp macro="" textlink="">
      <xdr:nvSpPr>
        <xdr:cNvPr id="50" name="四角形: 角を丸くする 49">
          <a:extLst>
            <a:ext uri="{FF2B5EF4-FFF2-40B4-BE49-F238E27FC236}">
              <a16:creationId xmlns:a16="http://schemas.microsoft.com/office/drawing/2014/main" id="{54306C14-3AB2-4087-8373-4C5C24DED6C7}"/>
            </a:ext>
          </a:extLst>
        </xdr:cNvPr>
        <xdr:cNvSpPr/>
      </xdr:nvSpPr>
      <xdr:spPr>
        <a:xfrm>
          <a:off x="11744325" y="4162425"/>
          <a:ext cx="1210828" cy="429986"/>
        </a:xfrm>
        <a:prstGeom prst="roundRect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 b="1">
              <a:solidFill>
                <a:schemeClr val="bg1"/>
              </a:solidFill>
            </a:rPr>
            <a:t>※</a:t>
          </a:r>
          <a:r>
            <a:rPr kumimoji="1" lang="ja-JP" altLang="en-US" sz="1400" b="1">
              <a:solidFill>
                <a:schemeClr val="bg1"/>
              </a:solidFill>
            </a:rPr>
            <a:t>要注意</a:t>
          </a:r>
          <a:r>
            <a:rPr kumimoji="1" lang="en-US" altLang="ja-JP" sz="1400" b="1">
              <a:solidFill>
                <a:schemeClr val="bg1"/>
              </a:solidFill>
            </a:rPr>
            <a:t>※</a:t>
          </a:r>
          <a:endParaRPr kumimoji="1" lang="ja-JP" alt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180400</xdr:colOff>
      <xdr:row>22</xdr:row>
      <xdr:rowOff>159438</xdr:rowOff>
    </xdr:from>
    <xdr:to>
      <xdr:col>16</xdr:col>
      <xdr:colOff>608880</xdr:colOff>
      <xdr:row>24</xdr:row>
      <xdr:rowOff>64515</xdr:rowOff>
    </xdr:to>
    <xdr:sp macro="" textlink="">
      <xdr:nvSpPr>
        <xdr:cNvPr id="54" name="四角形: 角を丸くする 53">
          <a:extLst>
            <a:ext uri="{FF2B5EF4-FFF2-40B4-BE49-F238E27FC236}">
              <a16:creationId xmlns:a16="http://schemas.microsoft.com/office/drawing/2014/main" id="{71CA6502-1738-48DA-9C08-08F31C400298}"/>
            </a:ext>
          </a:extLst>
        </xdr:cNvPr>
        <xdr:cNvSpPr/>
      </xdr:nvSpPr>
      <xdr:spPr>
        <a:xfrm>
          <a:off x="9381550" y="5512488"/>
          <a:ext cx="1742930" cy="381327"/>
        </a:xfrm>
        <a:prstGeom prst="roundRect">
          <a:avLst>
            <a:gd name="adj" fmla="val 4714"/>
          </a:avLst>
        </a:prstGeom>
        <a:solidFill>
          <a:srgbClr val="C00000">
            <a:alpha val="43000"/>
          </a:srgbClr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b="1"/>
        </a:p>
      </xdr:txBody>
    </xdr:sp>
    <xdr:clientData/>
  </xdr:twoCellAnchor>
  <xdr:twoCellAnchor>
    <xdr:from>
      <xdr:col>16</xdr:col>
      <xdr:colOff>607473</xdr:colOff>
      <xdr:row>22</xdr:row>
      <xdr:rowOff>47357</xdr:rowOff>
    </xdr:from>
    <xdr:to>
      <xdr:col>27</xdr:col>
      <xdr:colOff>295393</xdr:colOff>
      <xdr:row>23</xdr:row>
      <xdr:rowOff>95614</xdr:rowOff>
    </xdr:to>
    <xdr:grpSp>
      <xdr:nvGrpSpPr>
        <xdr:cNvPr id="56" name="グループ化 55">
          <a:extLst>
            <a:ext uri="{FF2B5EF4-FFF2-40B4-BE49-F238E27FC236}">
              <a16:creationId xmlns:a16="http://schemas.microsoft.com/office/drawing/2014/main" id="{CA31F693-3761-404E-BD22-13BFF953BFB0}"/>
            </a:ext>
          </a:extLst>
        </xdr:cNvPr>
        <xdr:cNvGrpSpPr/>
      </xdr:nvGrpSpPr>
      <xdr:grpSpPr>
        <a:xfrm>
          <a:off x="11123073" y="5589546"/>
          <a:ext cx="6918756" cy="285022"/>
          <a:chOff x="3392660" y="3378190"/>
          <a:chExt cx="4964416" cy="233089"/>
        </a:xfrm>
      </xdr:grpSpPr>
      <xdr:cxnSp macro="">
        <xdr:nvCxnSpPr>
          <xdr:cNvPr id="57" name="直線コネクタ 56">
            <a:extLst>
              <a:ext uri="{FF2B5EF4-FFF2-40B4-BE49-F238E27FC236}">
                <a16:creationId xmlns:a16="http://schemas.microsoft.com/office/drawing/2014/main" id="{C793CDDC-C3B7-411D-A12E-CA9AC35E528A}"/>
              </a:ext>
            </a:extLst>
          </xdr:cNvPr>
          <xdr:cNvCxnSpPr/>
        </xdr:nvCxnSpPr>
        <xdr:spPr>
          <a:xfrm flipV="1">
            <a:off x="3392660" y="3382536"/>
            <a:ext cx="351584" cy="228743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直線コネクタ 57">
            <a:extLst>
              <a:ext uri="{FF2B5EF4-FFF2-40B4-BE49-F238E27FC236}">
                <a16:creationId xmlns:a16="http://schemas.microsoft.com/office/drawing/2014/main" id="{126B70F1-BE14-45E8-8745-F77C4CE8AAEF}"/>
              </a:ext>
            </a:extLst>
          </xdr:cNvPr>
          <xdr:cNvCxnSpPr/>
        </xdr:nvCxnSpPr>
        <xdr:spPr>
          <a:xfrm>
            <a:off x="3737452" y="3378190"/>
            <a:ext cx="4619624" cy="0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386763</xdr:colOff>
      <xdr:row>8</xdr:row>
      <xdr:rowOff>106615</xdr:rowOff>
    </xdr:from>
    <xdr:to>
      <xdr:col>4</xdr:col>
      <xdr:colOff>174957</xdr:colOff>
      <xdr:row>10</xdr:row>
      <xdr:rowOff>32657</xdr:rowOff>
    </xdr:to>
    <xdr:sp macro="[0]!clear_sheets.clear_sheets" textlink="">
      <xdr:nvSpPr>
        <xdr:cNvPr id="44" name="四角形: 角を丸くする 43">
          <a:extLst>
            <a:ext uri="{FF2B5EF4-FFF2-40B4-BE49-F238E27FC236}">
              <a16:creationId xmlns:a16="http://schemas.microsoft.com/office/drawing/2014/main" id="{87A80F72-BB96-4824-B9FB-322795550842}"/>
            </a:ext>
          </a:extLst>
        </xdr:cNvPr>
        <xdr:cNvSpPr/>
      </xdr:nvSpPr>
      <xdr:spPr>
        <a:xfrm>
          <a:off x="1709057" y="2179703"/>
          <a:ext cx="1110488" cy="396689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/>
            <a:t>初期化</a:t>
          </a:r>
        </a:p>
      </xdr:txBody>
    </xdr:sp>
    <xdr:clientData/>
  </xdr:twoCellAnchor>
  <xdr:twoCellAnchor>
    <xdr:from>
      <xdr:col>2</xdr:col>
      <xdr:colOff>378280</xdr:colOff>
      <xdr:row>4</xdr:row>
      <xdr:rowOff>120544</xdr:rowOff>
    </xdr:from>
    <xdr:to>
      <xdr:col>4</xdr:col>
      <xdr:colOff>158310</xdr:colOff>
      <xdr:row>7</xdr:row>
      <xdr:rowOff>104934</xdr:rowOff>
    </xdr:to>
    <xdr:sp macro="[0]!makedir_weekly.makedir_weekly" textlink="">
      <xdr:nvSpPr>
        <xdr:cNvPr id="49" name="四角形: 角を丸くする 48">
          <a:extLst>
            <a:ext uri="{FF2B5EF4-FFF2-40B4-BE49-F238E27FC236}">
              <a16:creationId xmlns:a16="http://schemas.microsoft.com/office/drawing/2014/main" id="{F8B26F5C-5AF2-4B7A-A2BC-263DCA70B7FC}"/>
            </a:ext>
          </a:extLst>
        </xdr:cNvPr>
        <xdr:cNvSpPr/>
      </xdr:nvSpPr>
      <xdr:spPr>
        <a:xfrm>
          <a:off x="1700574" y="1252338"/>
          <a:ext cx="1102324" cy="690361"/>
        </a:xfrm>
        <a:prstGeom prst="roundRect">
          <a:avLst/>
        </a:prstGeom>
        <a:solidFill>
          <a:srgbClr val="FFC000"/>
        </a:solidFill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/>
            <a:t>PDF</a:t>
          </a:r>
          <a:r>
            <a:rPr kumimoji="1" lang="ja-JP" altLang="en-US" sz="1100" b="1"/>
            <a:t>ファイル出力</a:t>
          </a:r>
        </a:p>
      </xdr:txBody>
    </xdr:sp>
    <xdr:clientData/>
  </xdr:twoCellAnchor>
  <xdr:twoCellAnchor>
    <xdr:from>
      <xdr:col>15</xdr:col>
      <xdr:colOff>12246</xdr:colOff>
      <xdr:row>52</xdr:row>
      <xdr:rowOff>76200</xdr:rowOff>
    </xdr:from>
    <xdr:to>
      <xdr:col>15</xdr:col>
      <xdr:colOff>457200</xdr:colOff>
      <xdr:row>53</xdr:row>
      <xdr:rowOff>95250</xdr:rowOff>
    </xdr:to>
    <xdr:sp macro="" textlink="">
      <xdr:nvSpPr>
        <xdr:cNvPr id="51" name="四角形: 角を丸くする 50">
          <a:extLst>
            <a:ext uri="{FF2B5EF4-FFF2-40B4-BE49-F238E27FC236}">
              <a16:creationId xmlns:a16="http://schemas.microsoft.com/office/drawing/2014/main" id="{5D7269BC-E6BF-438C-9B7C-75F2FECC572F}"/>
            </a:ext>
          </a:extLst>
        </xdr:cNvPr>
        <xdr:cNvSpPr/>
      </xdr:nvSpPr>
      <xdr:spPr>
        <a:xfrm>
          <a:off x="9870621" y="12934950"/>
          <a:ext cx="444954" cy="257175"/>
        </a:xfrm>
        <a:prstGeom prst="roundRect">
          <a:avLst>
            <a:gd name="adj" fmla="val 25309"/>
          </a:avLst>
        </a:prstGeom>
        <a:solidFill>
          <a:schemeClr val="accent1">
            <a:alpha val="3300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600844</xdr:colOff>
      <xdr:row>58</xdr:row>
      <xdr:rowOff>207327</xdr:rowOff>
    </xdr:from>
    <xdr:to>
      <xdr:col>8</xdr:col>
      <xdr:colOff>476250</xdr:colOff>
      <xdr:row>59</xdr:row>
      <xdr:rowOff>217501</xdr:rowOff>
    </xdr:to>
    <xdr:sp macro="" textlink="">
      <xdr:nvSpPr>
        <xdr:cNvPr id="53" name="四角形: 角を丸くする 52">
          <a:extLst>
            <a:ext uri="{FF2B5EF4-FFF2-40B4-BE49-F238E27FC236}">
              <a16:creationId xmlns:a16="http://schemas.microsoft.com/office/drawing/2014/main" id="{1A5FCFC8-4F83-4757-8FD2-2E85E9154D57}"/>
            </a:ext>
          </a:extLst>
        </xdr:cNvPr>
        <xdr:cNvSpPr/>
      </xdr:nvSpPr>
      <xdr:spPr>
        <a:xfrm>
          <a:off x="4557382" y="14670673"/>
          <a:ext cx="1194253" cy="251963"/>
        </a:xfrm>
        <a:prstGeom prst="roundRect">
          <a:avLst>
            <a:gd name="adj" fmla="val 25309"/>
          </a:avLst>
        </a:prstGeom>
        <a:solidFill>
          <a:schemeClr val="accent1">
            <a:alpha val="3300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476250</xdr:colOff>
      <xdr:row>52</xdr:row>
      <xdr:rowOff>205258</xdr:rowOff>
    </xdr:from>
    <xdr:to>
      <xdr:col>15</xdr:col>
      <xdr:colOff>10885</xdr:colOff>
      <xdr:row>59</xdr:row>
      <xdr:rowOff>91519</xdr:rowOff>
    </xdr:to>
    <xdr:cxnSp macro="">
      <xdr:nvCxnSpPr>
        <xdr:cNvPr id="63" name="コネクタ: カギ線 62">
          <a:extLst>
            <a:ext uri="{FF2B5EF4-FFF2-40B4-BE49-F238E27FC236}">
              <a16:creationId xmlns:a16="http://schemas.microsoft.com/office/drawing/2014/main" id="{FB576CCA-0768-44FD-90BF-38ACFAA631E9}"/>
            </a:ext>
          </a:extLst>
        </xdr:cNvPr>
        <xdr:cNvCxnSpPr>
          <a:stCxn id="51" idx="1"/>
          <a:endCxn id="53" idx="3"/>
        </xdr:cNvCxnSpPr>
      </xdr:nvCxnSpPr>
      <xdr:spPr>
        <a:xfrm rot="10800000" flipV="1">
          <a:off x="5751635" y="13217873"/>
          <a:ext cx="4150596" cy="1578781"/>
        </a:xfrm>
        <a:prstGeom prst="bentConnector3">
          <a:avLst>
            <a:gd name="adj1" fmla="val 35859"/>
          </a:avLst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109171</xdr:colOff>
      <xdr:row>58</xdr:row>
      <xdr:rowOff>55685</xdr:rowOff>
    </xdr:from>
    <xdr:to>
      <xdr:col>7</xdr:col>
      <xdr:colOff>245242</xdr:colOff>
      <xdr:row>58</xdr:row>
      <xdr:rowOff>195839</xdr:rowOff>
    </xdr:to>
    <xdr:cxnSp macro="">
      <xdr:nvCxnSpPr>
        <xdr:cNvPr id="81" name="直線コネクタ 80">
          <a:extLst>
            <a:ext uri="{FF2B5EF4-FFF2-40B4-BE49-F238E27FC236}">
              <a16:creationId xmlns:a16="http://schemas.microsoft.com/office/drawing/2014/main" id="{19D0D360-EEBB-4B96-9F0B-EAC5829676F6}"/>
            </a:ext>
          </a:extLst>
        </xdr:cNvPr>
        <xdr:cNvCxnSpPr/>
      </xdr:nvCxnSpPr>
      <xdr:spPr>
        <a:xfrm flipV="1">
          <a:off x="4725133" y="14519031"/>
          <a:ext cx="136071" cy="140154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246602</xdr:colOff>
      <xdr:row>58</xdr:row>
      <xdr:rowOff>65171</xdr:rowOff>
    </xdr:from>
    <xdr:to>
      <xdr:col>11</xdr:col>
      <xdr:colOff>50131</xdr:colOff>
      <xdr:row>58</xdr:row>
      <xdr:rowOff>65210</xdr:rowOff>
    </xdr:to>
    <xdr:cxnSp macro="">
      <xdr:nvCxnSpPr>
        <xdr:cNvPr id="83" name="直線コネクタ 82">
          <a:extLst>
            <a:ext uri="{FF2B5EF4-FFF2-40B4-BE49-F238E27FC236}">
              <a16:creationId xmlns:a16="http://schemas.microsoft.com/office/drawing/2014/main" id="{E181C897-6E0B-4365-86D1-4E36632A9357}"/>
            </a:ext>
          </a:extLst>
        </xdr:cNvPr>
        <xdr:cNvCxnSpPr/>
      </xdr:nvCxnSpPr>
      <xdr:spPr>
        <a:xfrm flipV="1">
          <a:off x="4843668" y="14483013"/>
          <a:ext cx="2430424" cy="39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271530</xdr:colOff>
      <xdr:row>55</xdr:row>
      <xdr:rowOff>180385</xdr:rowOff>
    </xdr:from>
    <xdr:to>
      <xdr:col>11</xdr:col>
      <xdr:colOff>578943</xdr:colOff>
      <xdr:row>59</xdr:row>
      <xdr:rowOff>20212</xdr:rowOff>
    </xdr:to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0E45D006-A815-4C47-BA35-08B925064C64}"/>
            </a:ext>
          </a:extLst>
        </xdr:cNvPr>
        <xdr:cNvSpPr txBox="1"/>
      </xdr:nvSpPr>
      <xdr:spPr>
        <a:xfrm>
          <a:off x="4868596" y="13876332"/>
          <a:ext cx="2934308" cy="8023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 b="1">
              <a:solidFill>
                <a:schemeClr val="accent5">
                  <a:lumMod val="50000"/>
                </a:schemeClr>
              </a:solidFill>
            </a:rPr>
            <a:t>マクロファイルと同じ階層へ</a:t>
          </a:r>
          <a:endParaRPr kumimoji="1" lang="en-US" altLang="ja-JP" sz="1400" b="1">
            <a:solidFill>
              <a:schemeClr val="accent5">
                <a:lumMod val="50000"/>
              </a:schemeClr>
            </a:solidFill>
          </a:endParaRPr>
        </a:p>
        <a:p>
          <a:r>
            <a:rPr kumimoji="1" lang="ja-JP" altLang="en-US" sz="1400" b="1">
              <a:solidFill>
                <a:schemeClr val="accent5">
                  <a:lumMod val="50000"/>
                </a:schemeClr>
              </a:solidFill>
            </a:rPr>
            <a:t>フォルダが作成されます。</a:t>
          </a:r>
        </a:p>
      </xdr:txBody>
    </xdr:sp>
    <xdr:clientData/>
  </xdr:twoCellAnchor>
  <xdr:twoCellAnchor editAs="oneCell">
    <xdr:from>
      <xdr:col>6</xdr:col>
      <xdr:colOff>126660</xdr:colOff>
      <xdr:row>62</xdr:row>
      <xdr:rowOff>160435</xdr:rowOff>
    </xdr:from>
    <xdr:to>
      <xdr:col>12</xdr:col>
      <xdr:colOff>403119</xdr:colOff>
      <xdr:row>71</xdr:row>
      <xdr:rowOff>62151</xdr:rowOff>
    </xdr:to>
    <xdr:pic>
      <xdr:nvPicPr>
        <xdr:cNvPr id="69" name="図 68">
          <a:extLst>
            <a:ext uri="{FF2B5EF4-FFF2-40B4-BE49-F238E27FC236}">
              <a16:creationId xmlns:a16="http://schemas.microsoft.com/office/drawing/2014/main" id="{0C8648E1-62C9-44CD-995F-8ECFC4F06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068039" y="15315038"/>
          <a:ext cx="4217839" cy="2030061"/>
        </a:xfrm>
        <a:prstGeom prst="rect">
          <a:avLst/>
        </a:prstGeom>
      </xdr:spPr>
    </xdr:pic>
    <xdr:clientData/>
  </xdr:twoCellAnchor>
  <xdr:twoCellAnchor>
    <xdr:from>
      <xdr:col>7</xdr:col>
      <xdr:colOff>476813</xdr:colOff>
      <xdr:row>67</xdr:row>
      <xdr:rowOff>10415</xdr:rowOff>
    </xdr:from>
    <xdr:to>
      <xdr:col>9</xdr:col>
      <xdr:colOff>180600</xdr:colOff>
      <xdr:row>71</xdr:row>
      <xdr:rowOff>52552</xdr:rowOff>
    </xdr:to>
    <xdr:sp macro="" textlink="">
      <xdr:nvSpPr>
        <xdr:cNvPr id="61" name="四角形: 角を丸くする 60">
          <a:extLst>
            <a:ext uri="{FF2B5EF4-FFF2-40B4-BE49-F238E27FC236}">
              <a16:creationId xmlns:a16="http://schemas.microsoft.com/office/drawing/2014/main" id="{2436F02C-9413-40B0-9018-267BB8EFE45B}"/>
            </a:ext>
          </a:extLst>
        </xdr:cNvPr>
        <xdr:cNvSpPr/>
      </xdr:nvSpPr>
      <xdr:spPr>
        <a:xfrm>
          <a:off x="5075089" y="16347432"/>
          <a:ext cx="1017580" cy="988068"/>
        </a:xfrm>
        <a:prstGeom prst="roundRect">
          <a:avLst>
            <a:gd name="adj" fmla="val 25309"/>
          </a:avLst>
        </a:prstGeom>
        <a:solidFill>
          <a:schemeClr val="accent1">
            <a:alpha val="3300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180600</xdr:colOff>
      <xdr:row>52</xdr:row>
      <xdr:rowOff>202606</xdr:rowOff>
    </xdr:from>
    <xdr:to>
      <xdr:col>15</xdr:col>
      <xdr:colOff>10885</xdr:colOff>
      <xdr:row>69</xdr:row>
      <xdr:rowOff>31483</xdr:rowOff>
    </xdr:to>
    <xdr:cxnSp macro="">
      <xdr:nvCxnSpPr>
        <xdr:cNvPr id="66" name="コネクタ: カギ線 65">
          <a:extLst>
            <a:ext uri="{FF2B5EF4-FFF2-40B4-BE49-F238E27FC236}">
              <a16:creationId xmlns:a16="http://schemas.microsoft.com/office/drawing/2014/main" id="{B309AAA3-3010-45C9-B7EF-36AA5C4AC5A3}"/>
            </a:ext>
          </a:extLst>
        </xdr:cNvPr>
        <xdr:cNvCxnSpPr>
          <a:stCxn id="51" idx="1"/>
          <a:endCxn id="61" idx="3"/>
        </xdr:cNvCxnSpPr>
      </xdr:nvCxnSpPr>
      <xdr:spPr>
        <a:xfrm rot="10800000" flipV="1">
          <a:off x="6092669" y="12992382"/>
          <a:ext cx="3771664" cy="3849084"/>
        </a:xfrm>
        <a:prstGeom prst="bentConnector3">
          <a:avLst>
            <a:gd name="adj1" fmla="val 39368"/>
          </a:avLst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C00000">
            <a:alpha val="43000"/>
          </a:srgbClr>
        </a:solidFill>
        <a:ln>
          <a:solidFill>
            <a:srgbClr val="C00000"/>
          </a:solidFill>
        </a:ln>
      </a:spPr>
      <a:bodyPr vertOverflow="clip" horzOverflow="clip" rtlCol="0" anchor="t"/>
      <a:lstStyle>
        <a:defPPr algn="l">
          <a:defRPr kumimoji="1" sz="1100" b="1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6367F-9A48-42BA-9041-491148094737}">
  <sheetPr codeName="Sheet9">
    <tabColor theme="4"/>
  </sheetPr>
  <dimension ref="A2:AE72"/>
  <sheetViews>
    <sheetView showGridLines="0" tabSelected="1" zoomScaleNormal="100" workbookViewId="0"/>
  </sheetViews>
  <sheetFormatPr defaultColWidth="9.23046875" defaultRowHeight="18.45" x14ac:dyDescent="0.25"/>
  <cols>
    <col min="1" max="16384" width="9.23046875" style="51"/>
  </cols>
  <sheetData>
    <row r="2" spans="1:31" ht="23.15" x14ac:dyDescent="0.8">
      <c r="A2" s="55" t="s">
        <v>69</v>
      </c>
      <c r="B2" s="55" t="s">
        <v>70</v>
      </c>
      <c r="D2" s="57"/>
      <c r="G2" s="52"/>
    </row>
    <row r="3" spans="1:31" ht="29.15" x14ac:dyDescent="1">
      <c r="A3" s="56" t="s">
        <v>73</v>
      </c>
      <c r="B3" s="56" t="s">
        <v>75</v>
      </c>
      <c r="G3" s="105" t="s">
        <v>9</v>
      </c>
    </row>
    <row r="4" spans="1:31" ht="23.15" x14ac:dyDescent="0.25">
      <c r="A4" s="56" t="s">
        <v>74</v>
      </c>
      <c r="B4" s="56" t="s">
        <v>76</v>
      </c>
      <c r="G4" s="104" t="s">
        <v>71</v>
      </c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</row>
    <row r="5" spans="1:31" x14ac:dyDescent="0.65">
      <c r="A5" s="56"/>
      <c r="B5" s="56"/>
      <c r="G5" s="59" t="s">
        <v>77</v>
      </c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</row>
    <row r="6" spans="1:31" x14ac:dyDescent="0.25">
      <c r="A6" s="56"/>
      <c r="B6" s="56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</row>
    <row r="7" spans="1:31" x14ac:dyDescent="0.65">
      <c r="A7" s="56"/>
      <c r="B7" s="56"/>
      <c r="G7" s="59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</row>
    <row r="8" spans="1:31" x14ac:dyDescent="0.65">
      <c r="A8" s="56"/>
      <c r="B8" s="56"/>
      <c r="G8" s="59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</row>
    <row r="9" spans="1:31" x14ac:dyDescent="0.65">
      <c r="A9" s="56"/>
      <c r="B9" s="56"/>
      <c r="G9" s="59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</row>
    <row r="10" spans="1:31" x14ac:dyDescent="0.65">
      <c r="A10" s="56"/>
      <c r="B10" s="56"/>
      <c r="G10" s="59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</row>
    <row r="11" spans="1:31" x14ac:dyDescent="0.65">
      <c r="A11" s="56"/>
      <c r="B11" s="56"/>
      <c r="G11" s="59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</row>
    <row r="12" spans="1:31" x14ac:dyDescent="0.65">
      <c r="A12" s="56"/>
      <c r="B12" s="56"/>
      <c r="G12" s="59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</row>
    <row r="13" spans="1:31" x14ac:dyDescent="0.25">
      <c r="A13" s="56"/>
      <c r="B13" s="56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</row>
    <row r="14" spans="1:31" x14ac:dyDescent="0.65">
      <c r="A14" s="56"/>
      <c r="B14" s="56"/>
      <c r="G14" s="59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</row>
    <row r="15" spans="1:31" x14ac:dyDescent="0.65">
      <c r="A15" s="56"/>
      <c r="B15" s="56"/>
      <c r="G15" s="52"/>
    </row>
    <row r="16" spans="1:31" ht="23.15" x14ac:dyDescent="0.8">
      <c r="A16" s="56"/>
      <c r="B16" s="56"/>
      <c r="G16" s="106" t="s">
        <v>72</v>
      </c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</row>
    <row r="17" spans="1:31" x14ac:dyDescent="0.65">
      <c r="A17" s="56"/>
      <c r="B17" s="56"/>
      <c r="G17" s="59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</row>
    <row r="18" spans="1:31" x14ac:dyDescent="0.25">
      <c r="A18" s="56"/>
      <c r="B18" s="56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</row>
    <row r="19" spans="1:31" x14ac:dyDescent="0.25">
      <c r="A19" s="56"/>
      <c r="B19" s="56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</row>
    <row r="20" spans="1:31" x14ac:dyDescent="0.25">
      <c r="A20" s="56"/>
      <c r="B20" s="56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</row>
    <row r="21" spans="1:31" x14ac:dyDescent="0.25"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</row>
    <row r="22" spans="1:31" x14ac:dyDescent="0.25"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</row>
    <row r="23" spans="1:31" x14ac:dyDescent="0.25"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</row>
    <row r="24" spans="1:31" x14ac:dyDescent="0.25"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</row>
    <row r="25" spans="1:31" x14ac:dyDescent="0.25"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</row>
    <row r="26" spans="1:31" x14ac:dyDescent="0.25"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</row>
    <row r="27" spans="1:31" x14ac:dyDescent="0.25"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</row>
    <row r="28" spans="1:31" x14ac:dyDescent="0.25"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 t="s">
        <v>81</v>
      </c>
      <c r="W28" s="58"/>
      <c r="X28" s="58"/>
      <c r="Y28" s="58"/>
      <c r="Z28" s="58"/>
      <c r="AA28" s="58"/>
      <c r="AB28" s="58"/>
      <c r="AC28" s="58"/>
      <c r="AD28" s="58"/>
      <c r="AE28" s="58"/>
    </row>
    <row r="29" spans="1:31" x14ac:dyDescent="0.25"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</row>
    <row r="30" spans="1:31" x14ac:dyDescent="0.25"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</row>
    <row r="31" spans="1:31" x14ac:dyDescent="0.25"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</row>
    <row r="32" spans="1:31" x14ac:dyDescent="0.25"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</row>
    <row r="33" spans="7:31" x14ac:dyDescent="0.25"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</row>
    <row r="35" spans="7:31" ht="23.15" x14ac:dyDescent="0.8">
      <c r="G35" s="106" t="s">
        <v>10</v>
      </c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7:31" x14ac:dyDescent="0.25"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7:31" x14ac:dyDescent="0.25"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7:31" x14ac:dyDescent="0.25"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7:31" x14ac:dyDescent="0.25"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</row>
    <row r="40" spans="7:31" x14ac:dyDescent="0.25"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</row>
    <row r="41" spans="7:31" x14ac:dyDescent="0.25"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</row>
    <row r="42" spans="7:31" x14ac:dyDescent="0.25"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</row>
    <row r="45" spans="7:31" ht="23.15" x14ac:dyDescent="0.25">
      <c r="G45" s="104" t="s">
        <v>11</v>
      </c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</row>
    <row r="46" spans="7:31" x14ac:dyDescent="0.25">
      <c r="G46" s="58" t="s">
        <v>12</v>
      </c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8" spans="7:31" ht="23.15" x14ac:dyDescent="0.25">
      <c r="G48" s="107" t="s">
        <v>13</v>
      </c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</row>
    <row r="49" spans="7:31" x14ac:dyDescent="0.25">
      <c r="G49" s="60" t="s">
        <v>15</v>
      </c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</row>
    <row r="50" spans="7:31" x14ac:dyDescent="0.25">
      <c r="G50" s="60" t="s">
        <v>14</v>
      </c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</row>
    <row r="51" spans="7:31" x14ac:dyDescent="0.25"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</row>
    <row r="52" spans="7:31" x14ac:dyDescent="0.25"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</row>
    <row r="53" spans="7:31" x14ac:dyDescent="0.25"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</row>
    <row r="54" spans="7:31" x14ac:dyDescent="0.25"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</row>
    <row r="55" spans="7:31" x14ac:dyDescent="0.25"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</row>
    <row r="56" spans="7:31" x14ac:dyDescent="0.25"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</row>
    <row r="57" spans="7:31" x14ac:dyDescent="0.25"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</row>
    <row r="58" spans="7:31" x14ac:dyDescent="0.25"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</row>
    <row r="59" spans="7:31" x14ac:dyDescent="0.25"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</row>
    <row r="60" spans="7:31" x14ac:dyDescent="0.25"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</row>
    <row r="61" spans="7:31" x14ac:dyDescent="0.25"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</row>
    <row r="62" spans="7:31" x14ac:dyDescent="0.25"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</row>
    <row r="63" spans="7:31" x14ac:dyDescent="0.25"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</row>
    <row r="64" spans="7:31" x14ac:dyDescent="0.25"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</row>
    <row r="65" spans="7:31" x14ac:dyDescent="0.25"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</row>
    <row r="66" spans="7:31" x14ac:dyDescent="0.25"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</row>
    <row r="67" spans="7:31" x14ac:dyDescent="0.25"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</row>
    <row r="68" spans="7:31" x14ac:dyDescent="0.25"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</row>
    <row r="69" spans="7:31" x14ac:dyDescent="0.25"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</row>
    <row r="70" spans="7:31" x14ac:dyDescent="0.25"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</row>
    <row r="71" spans="7:31" x14ac:dyDescent="0.25"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</row>
    <row r="72" spans="7:31" x14ac:dyDescent="0.25"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</row>
  </sheetData>
  <phoneticPr fontId="16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71A69-8B94-48C3-AC2C-E09B9D665DB8}">
  <sheetPr codeName="Sheet10"/>
  <dimension ref="B1:AF130"/>
  <sheetViews>
    <sheetView view="pageBreakPreview" zoomScale="85" zoomScaleNormal="70" zoomScaleSheetLayoutView="85" workbookViewId="0">
      <pane xSplit="8" ySplit="5" topLeftCell="I6" activePane="bottomRight" state="frozen"/>
      <selection activeCell="L6" sqref="L6"/>
      <selection pane="topRight" activeCell="L6" sqref="L6"/>
      <selection pane="bottomLeft" activeCell="L6" sqref="L6"/>
      <selection pane="bottomRight" activeCell="I6" sqref="I6"/>
    </sheetView>
  </sheetViews>
  <sheetFormatPr defaultColWidth="9" defaultRowHeight="13.3" x14ac:dyDescent="0.25"/>
  <cols>
    <col min="1" max="1" width="1.23046875" style="2" customWidth="1"/>
    <col min="2" max="3" width="4.23046875" style="50" customWidth="1"/>
    <col min="4" max="4" width="39.84375" style="2" customWidth="1"/>
    <col min="5" max="5" width="27.921875" style="45" customWidth="1"/>
    <col min="6" max="6" width="6.23046875" style="2" bestFit="1" customWidth="1"/>
    <col min="7" max="7" width="5.4609375" style="2" bestFit="1" customWidth="1"/>
    <col min="8" max="8" width="5.15234375" style="2" customWidth="1"/>
    <col min="9" max="15" width="7.15234375" style="2" customWidth="1"/>
    <col min="16" max="16" width="9" style="2"/>
    <col min="17" max="17" width="4.23046875" style="2" hidden="1" customWidth="1"/>
    <col min="18" max="18" width="1.4609375" style="2" hidden="1" customWidth="1"/>
    <col min="19" max="19" width="9.84375" style="2" hidden="1" customWidth="1"/>
    <col min="20" max="20" width="29.69140625" style="2" hidden="1" customWidth="1"/>
    <col min="21" max="21" width="3.61328125" style="2" hidden="1" customWidth="1"/>
    <col min="22" max="22" width="8.69140625" style="2" hidden="1" customWidth="1"/>
    <col min="23" max="23" width="2.4609375" style="2" hidden="1" customWidth="1"/>
    <col min="24" max="24" width="5.61328125" style="2" hidden="1" customWidth="1"/>
    <col min="25" max="25" width="7.15234375" style="2" hidden="1" customWidth="1"/>
    <col min="26" max="26" width="4.61328125" style="2" hidden="1" customWidth="1"/>
    <col min="27" max="27" width="8.69140625" style="2" hidden="1" customWidth="1"/>
    <col min="28" max="28" width="2.4609375" style="2" hidden="1" customWidth="1"/>
    <col min="29" max="31" width="0" style="2" hidden="1" customWidth="1"/>
    <col min="32" max="16384" width="9" style="2"/>
  </cols>
  <sheetData>
    <row r="1" spans="2:30" ht="5.25" customHeight="1" x14ac:dyDescent="0.25">
      <c r="AD1" s="7"/>
    </row>
    <row r="2" spans="2:30" ht="25.3" x14ac:dyDescent="0.25">
      <c r="D2" s="18" t="s">
        <v>59</v>
      </c>
      <c r="E2" s="46"/>
      <c r="G2" s="19"/>
      <c r="H2" s="20"/>
      <c r="AD2" s="7"/>
    </row>
    <row r="3" spans="2:30" ht="5.25" customHeight="1" thickBot="1" x14ac:dyDescent="0.3">
      <c r="H3" s="20"/>
      <c r="I3" s="21"/>
      <c r="AD3" s="7"/>
    </row>
    <row r="4" spans="2:30" ht="18.45" x14ac:dyDescent="0.25">
      <c r="B4" s="110" t="s">
        <v>8</v>
      </c>
      <c r="C4" s="111"/>
      <c r="D4" s="22"/>
      <c r="E4" s="47"/>
      <c r="F4" s="22"/>
      <c r="G4" s="23"/>
      <c r="H4" s="24" t="s">
        <v>6</v>
      </c>
      <c r="I4" s="40">
        <v>44669</v>
      </c>
      <c r="J4" s="41">
        <f>I4+1</f>
        <v>44670</v>
      </c>
      <c r="K4" s="41">
        <f t="shared" ref="K4:O4" si="0">J4+1</f>
        <v>44671</v>
      </c>
      <c r="L4" s="41">
        <f t="shared" si="0"/>
        <v>44672</v>
      </c>
      <c r="M4" s="41">
        <f t="shared" si="0"/>
        <v>44673</v>
      </c>
      <c r="N4" s="41">
        <f t="shared" si="0"/>
        <v>44674</v>
      </c>
      <c r="O4" s="102">
        <f t="shared" si="0"/>
        <v>44675</v>
      </c>
      <c r="P4" s="38"/>
      <c r="Q4" s="29" t="s">
        <v>4</v>
      </c>
      <c r="AD4" s="7"/>
    </row>
    <row r="5" spans="2:30" ht="18.899999999999999" thickBot="1" x14ac:dyDescent="0.3">
      <c r="B5" s="112"/>
      <c r="C5" s="113"/>
      <c r="D5" s="25" t="s">
        <v>0</v>
      </c>
      <c r="E5" s="48" t="s">
        <v>60</v>
      </c>
      <c r="F5" s="25" t="s">
        <v>1</v>
      </c>
      <c r="G5" s="26" t="s">
        <v>2</v>
      </c>
      <c r="H5" s="27" t="s">
        <v>7</v>
      </c>
      <c r="I5" s="42" t="str">
        <f>TEXT(I4,"(aaa)")</f>
        <v>(月)</v>
      </c>
      <c r="J5" s="43" t="str">
        <f t="shared" ref="J5:O5" si="1">TEXT(J4,"(aaa)")</f>
        <v>(火)</v>
      </c>
      <c r="K5" s="43" t="str">
        <f t="shared" si="1"/>
        <v>(水)</v>
      </c>
      <c r="L5" s="43" t="str">
        <f t="shared" si="1"/>
        <v>(木)</v>
      </c>
      <c r="M5" s="43" t="str">
        <f t="shared" si="1"/>
        <v>(金)</v>
      </c>
      <c r="N5" s="43" t="str">
        <f t="shared" si="1"/>
        <v>(土)</v>
      </c>
      <c r="O5" s="44" t="str">
        <f t="shared" si="1"/>
        <v>(日)</v>
      </c>
      <c r="P5" s="39" t="s">
        <v>3</v>
      </c>
      <c r="Q5" s="30" t="s">
        <v>5</v>
      </c>
      <c r="AD5" s="7"/>
    </row>
    <row r="6" spans="2:30" ht="30" customHeight="1" thickTop="1" x14ac:dyDescent="0.3">
      <c r="B6" s="114"/>
      <c r="C6" s="115"/>
      <c r="D6" s="1"/>
      <c r="E6" s="49"/>
      <c r="F6" s="3"/>
      <c r="G6" s="4"/>
      <c r="H6" s="33"/>
      <c r="I6" s="34">
        <v>0</v>
      </c>
      <c r="J6" s="35">
        <v>0</v>
      </c>
      <c r="K6" s="35">
        <v>0</v>
      </c>
      <c r="L6" s="35">
        <v>0</v>
      </c>
      <c r="M6" s="35">
        <v>0</v>
      </c>
      <c r="N6" s="36">
        <v>0</v>
      </c>
      <c r="O6" s="36">
        <v>0</v>
      </c>
      <c r="P6" s="5">
        <f>SUM(I6:O6)</f>
        <v>0</v>
      </c>
      <c r="Q6" s="6"/>
      <c r="AD6" s="7"/>
    </row>
    <row r="7" spans="2:30" ht="30" customHeight="1" x14ac:dyDescent="0.3">
      <c r="B7" s="108"/>
      <c r="C7" s="109"/>
      <c r="D7" s="1"/>
      <c r="E7" s="49"/>
      <c r="F7" s="3"/>
      <c r="G7" s="4"/>
      <c r="H7" s="17"/>
      <c r="I7" s="34">
        <v>0</v>
      </c>
      <c r="J7" s="35">
        <v>0</v>
      </c>
      <c r="K7" s="37">
        <v>0</v>
      </c>
      <c r="L7" s="37">
        <v>0</v>
      </c>
      <c r="M7" s="37">
        <v>0</v>
      </c>
      <c r="N7" s="37">
        <v>0</v>
      </c>
      <c r="O7" s="37">
        <v>0</v>
      </c>
      <c r="P7" s="5">
        <f t="shared" ref="P7:P59" si="2">SUM(I7:O7)</f>
        <v>0</v>
      </c>
      <c r="Q7" s="6"/>
      <c r="AD7" s="7"/>
    </row>
    <row r="8" spans="2:30" ht="30" customHeight="1" x14ac:dyDescent="0.3">
      <c r="B8" s="108"/>
      <c r="C8" s="109"/>
      <c r="D8" s="1"/>
      <c r="E8" s="49"/>
      <c r="F8" s="3"/>
      <c r="G8" s="4"/>
      <c r="H8" s="17"/>
      <c r="I8" s="34">
        <v>0</v>
      </c>
      <c r="J8" s="35">
        <v>0</v>
      </c>
      <c r="K8" s="37">
        <v>0</v>
      </c>
      <c r="L8" s="37">
        <v>0</v>
      </c>
      <c r="M8" s="37">
        <v>0</v>
      </c>
      <c r="N8" s="37">
        <v>0</v>
      </c>
      <c r="O8" s="37">
        <v>0</v>
      </c>
      <c r="P8" s="5">
        <f t="shared" si="2"/>
        <v>0</v>
      </c>
      <c r="Q8" s="6"/>
      <c r="AD8" s="7"/>
    </row>
    <row r="9" spans="2:30" ht="30" customHeight="1" x14ac:dyDescent="0.3">
      <c r="B9" s="108"/>
      <c r="C9" s="109"/>
      <c r="D9" s="1"/>
      <c r="E9" s="49"/>
      <c r="F9" s="3"/>
      <c r="G9" s="4"/>
      <c r="H9" s="17"/>
      <c r="I9" s="34">
        <v>0</v>
      </c>
      <c r="J9" s="35">
        <v>0</v>
      </c>
      <c r="K9" s="37">
        <v>0</v>
      </c>
      <c r="L9" s="37">
        <v>0</v>
      </c>
      <c r="M9" s="37">
        <v>0</v>
      </c>
      <c r="N9" s="37">
        <v>0</v>
      </c>
      <c r="O9" s="37">
        <v>0</v>
      </c>
      <c r="P9" s="5">
        <f t="shared" si="2"/>
        <v>0</v>
      </c>
      <c r="Q9" s="6"/>
      <c r="AD9" s="7"/>
    </row>
    <row r="10" spans="2:30" ht="30" customHeight="1" x14ac:dyDescent="0.3">
      <c r="B10" s="108"/>
      <c r="C10" s="109"/>
      <c r="D10" s="1"/>
      <c r="E10" s="49"/>
      <c r="F10" s="3"/>
      <c r="G10" s="4"/>
      <c r="H10" s="17"/>
      <c r="I10" s="34">
        <v>0</v>
      </c>
      <c r="J10" s="35">
        <v>0</v>
      </c>
      <c r="K10" s="37">
        <v>0</v>
      </c>
      <c r="L10" s="37">
        <v>0</v>
      </c>
      <c r="M10" s="37">
        <v>0</v>
      </c>
      <c r="N10" s="37">
        <v>0</v>
      </c>
      <c r="O10" s="37">
        <v>0</v>
      </c>
      <c r="P10" s="5">
        <f t="shared" si="2"/>
        <v>0</v>
      </c>
      <c r="Q10" s="6"/>
      <c r="AD10" s="7"/>
    </row>
    <row r="11" spans="2:30" ht="30" customHeight="1" x14ac:dyDescent="0.3">
      <c r="B11" s="108"/>
      <c r="C11" s="109"/>
      <c r="D11" s="1"/>
      <c r="E11" s="49"/>
      <c r="F11" s="3"/>
      <c r="G11" s="4"/>
      <c r="H11" s="17"/>
      <c r="I11" s="34">
        <v>0</v>
      </c>
      <c r="J11" s="35">
        <v>0</v>
      </c>
      <c r="K11" s="37">
        <v>0</v>
      </c>
      <c r="L11" s="37">
        <v>0</v>
      </c>
      <c r="M11" s="37">
        <v>0</v>
      </c>
      <c r="N11" s="37">
        <v>0</v>
      </c>
      <c r="O11" s="37">
        <v>0</v>
      </c>
      <c r="P11" s="5">
        <f t="shared" si="2"/>
        <v>0</v>
      </c>
      <c r="Q11" s="6"/>
      <c r="AD11" s="7"/>
    </row>
    <row r="12" spans="2:30" ht="30" customHeight="1" x14ac:dyDescent="0.3">
      <c r="B12" s="108"/>
      <c r="C12" s="109"/>
      <c r="D12" s="1"/>
      <c r="E12" s="49"/>
      <c r="F12" s="3"/>
      <c r="G12" s="4"/>
      <c r="H12" s="17"/>
      <c r="I12" s="34">
        <v>0</v>
      </c>
      <c r="J12" s="35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5">
        <f t="shared" si="2"/>
        <v>0</v>
      </c>
      <c r="Q12" s="6"/>
      <c r="AD12" s="7"/>
    </row>
    <row r="13" spans="2:30" ht="30" customHeight="1" x14ac:dyDescent="0.3">
      <c r="B13" s="108"/>
      <c r="C13" s="109"/>
      <c r="D13" s="1"/>
      <c r="E13" s="49"/>
      <c r="F13" s="3"/>
      <c r="G13" s="4"/>
      <c r="H13" s="17"/>
      <c r="I13" s="34">
        <v>0</v>
      </c>
      <c r="J13" s="35">
        <v>0</v>
      </c>
      <c r="K13" s="37">
        <v>0</v>
      </c>
      <c r="L13" s="37">
        <v>0</v>
      </c>
      <c r="M13" s="37">
        <v>0</v>
      </c>
      <c r="N13" s="37">
        <v>0</v>
      </c>
      <c r="O13" s="37">
        <v>0</v>
      </c>
      <c r="P13" s="5">
        <f t="shared" si="2"/>
        <v>0</v>
      </c>
      <c r="Q13" s="6"/>
      <c r="AD13" s="7"/>
    </row>
    <row r="14" spans="2:30" ht="30" customHeight="1" x14ac:dyDescent="0.3">
      <c r="B14" s="108"/>
      <c r="C14" s="109"/>
      <c r="D14" s="1"/>
      <c r="E14" s="49"/>
      <c r="F14" s="3"/>
      <c r="G14" s="4"/>
      <c r="H14" s="17"/>
      <c r="I14" s="34">
        <v>0</v>
      </c>
      <c r="J14" s="35">
        <v>0</v>
      </c>
      <c r="K14" s="37">
        <v>0</v>
      </c>
      <c r="L14" s="37">
        <v>0</v>
      </c>
      <c r="M14" s="37">
        <v>0</v>
      </c>
      <c r="N14" s="37">
        <v>0</v>
      </c>
      <c r="O14" s="37">
        <v>0</v>
      </c>
      <c r="P14" s="5">
        <f>SUM(I14:O14)</f>
        <v>0</v>
      </c>
      <c r="Q14" s="6"/>
      <c r="AD14" s="7"/>
    </row>
    <row r="15" spans="2:30" ht="30" customHeight="1" thickBot="1" x14ac:dyDescent="0.35">
      <c r="B15" s="108"/>
      <c r="C15" s="109"/>
      <c r="D15" s="1"/>
      <c r="E15" s="49"/>
      <c r="F15" s="3"/>
      <c r="G15" s="4"/>
      <c r="H15" s="17"/>
      <c r="I15" s="34">
        <v>0</v>
      </c>
      <c r="J15" s="35">
        <v>0</v>
      </c>
      <c r="K15" s="37">
        <v>0</v>
      </c>
      <c r="L15" s="37">
        <v>0</v>
      </c>
      <c r="M15" s="37">
        <v>0</v>
      </c>
      <c r="N15" s="37">
        <v>0</v>
      </c>
      <c r="O15" s="37">
        <v>0</v>
      </c>
      <c r="P15" s="5">
        <f>SUM(I15:O15)</f>
        <v>0</v>
      </c>
      <c r="Q15" s="9"/>
      <c r="AD15" s="7"/>
    </row>
    <row r="16" spans="2:30" ht="33" customHeight="1" thickTop="1" x14ac:dyDescent="0.3">
      <c r="B16" s="108"/>
      <c r="C16" s="109"/>
      <c r="D16" s="1"/>
      <c r="E16" s="49"/>
      <c r="F16" s="3"/>
      <c r="G16" s="4"/>
      <c r="H16" s="17"/>
      <c r="I16" s="34">
        <v>0</v>
      </c>
      <c r="J16" s="35">
        <v>0</v>
      </c>
      <c r="K16" s="37">
        <v>0</v>
      </c>
      <c r="L16" s="37">
        <v>0</v>
      </c>
      <c r="M16" s="37">
        <v>0</v>
      </c>
      <c r="N16" s="37">
        <v>0</v>
      </c>
      <c r="O16" s="37">
        <v>0</v>
      </c>
      <c r="P16" s="5">
        <f>SUM(I16:O16)</f>
        <v>0</v>
      </c>
      <c r="Q16" s="10"/>
      <c r="AD16" s="7"/>
    </row>
    <row r="17" spans="2:30" ht="30" customHeight="1" x14ac:dyDescent="0.3">
      <c r="B17" s="108"/>
      <c r="C17" s="109"/>
      <c r="D17" s="1"/>
      <c r="E17" s="49"/>
      <c r="F17" s="3"/>
      <c r="G17" s="4"/>
      <c r="H17" s="17"/>
      <c r="I17" s="34">
        <v>0</v>
      </c>
      <c r="J17" s="35">
        <v>0</v>
      </c>
      <c r="K17" s="37">
        <v>0</v>
      </c>
      <c r="L17" s="37">
        <v>0</v>
      </c>
      <c r="M17" s="37">
        <v>0</v>
      </c>
      <c r="N17" s="37">
        <v>0</v>
      </c>
      <c r="O17" s="37">
        <v>0</v>
      </c>
      <c r="P17" s="5">
        <f t="shared" si="2"/>
        <v>0</v>
      </c>
      <c r="Q17" s="6"/>
      <c r="AD17" s="7"/>
    </row>
    <row r="18" spans="2:30" ht="30" customHeight="1" x14ac:dyDescent="0.3">
      <c r="B18" s="108"/>
      <c r="C18" s="109"/>
      <c r="D18" s="1"/>
      <c r="E18" s="49"/>
      <c r="F18" s="3"/>
      <c r="G18" s="4"/>
      <c r="H18" s="17"/>
      <c r="I18" s="34">
        <v>0</v>
      </c>
      <c r="J18" s="35">
        <v>0</v>
      </c>
      <c r="K18" s="37">
        <v>0</v>
      </c>
      <c r="L18" s="37">
        <v>0</v>
      </c>
      <c r="M18" s="37">
        <v>0</v>
      </c>
      <c r="N18" s="37">
        <v>0</v>
      </c>
      <c r="O18" s="37">
        <v>0</v>
      </c>
      <c r="P18" s="5">
        <f>SUM(I18:O18)</f>
        <v>0</v>
      </c>
      <c r="Q18" s="6"/>
      <c r="AD18" s="7"/>
    </row>
    <row r="19" spans="2:30" ht="30" customHeight="1" x14ac:dyDescent="0.3">
      <c r="B19" s="108"/>
      <c r="C19" s="109"/>
      <c r="D19" s="1"/>
      <c r="E19" s="49"/>
      <c r="F19" s="3"/>
      <c r="G19" s="4"/>
      <c r="H19" s="17"/>
      <c r="I19" s="34">
        <v>0</v>
      </c>
      <c r="J19" s="35">
        <v>0</v>
      </c>
      <c r="K19" s="37">
        <v>0</v>
      </c>
      <c r="L19" s="37">
        <v>0</v>
      </c>
      <c r="M19" s="37">
        <v>0</v>
      </c>
      <c r="N19" s="37">
        <v>0</v>
      </c>
      <c r="O19" s="37">
        <v>0</v>
      </c>
      <c r="P19" s="5">
        <f>SUM(I19:O19)</f>
        <v>0</v>
      </c>
      <c r="Q19" s="10"/>
      <c r="AD19" s="7"/>
    </row>
    <row r="20" spans="2:30" ht="30" customHeight="1" x14ac:dyDescent="0.3">
      <c r="B20" s="108"/>
      <c r="C20" s="109"/>
      <c r="D20" s="1"/>
      <c r="E20" s="49"/>
      <c r="F20" s="3"/>
      <c r="G20" s="4"/>
      <c r="H20" s="17"/>
      <c r="I20" s="34">
        <v>0</v>
      </c>
      <c r="J20" s="35">
        <v>0</v>
      </c>
      <c r="K20" s="37">
        <v>0</v>
      </c>
      <c r="L20" s="37">
        <v>0</v>
      </c>
      <c r="M20" s="37">
        <v>0</v>
      </c>
      <c r="N20" s="37">
        <v>0</v>
      </c>
      <c r="O20" s="37">
        <v>0</v>
      </c>
      <c r="P20" s="5">
        <f>SUM(I20:O20)</f>
        <v>0</v>
      </c>
      <c r="Q20" s="6"/>
      <c r="AD20" s="7"/>
    </row>
    <row r="21" spans="2:30" ht="30" customHeight="1" x14ac:dyDescent="0.3">
      <c r="B21" s="108"/>
      <c r="C21" s="109"/>
      <c r="D21" s="1"/>
      <c r="E21" s="49"/>
      <c r="F21" s="3"/>
      <c r="G21" s="4"/>
      <c r="H21" s="17"/>
      <c r="I21" s="34">
        <v>0</v>
      </c>
      <c r="J21" s="35">
        <v>0</v>
      </c>
      <c r="K21" s="37">
        <v>0</v>
      </c>
      <c r="L21" s="37">
        <v>0</v>
      </c>
      <c r="M21" s="37">
        <v>0</v>
      </c>
      <c r="N21" s="37">
        <v>0</v>
      </c>
      <c r="O21" s="37">
        <v>0</v>
      </c>
      <c r="P21" s="5">
        <f>SUM(I21:O21)</f>
        <v>0</v>
      </c>
      <c r="Q21" s="6"/>
      <c r="AD21" s="7"/>
    </row>
    <row r="22" spans="2:30" ht="30" customHeight="1" thickBot="1" x14ac:dyDescent="0.35">
      <c r="B22" s="108"/>
      <c r="C22" s="109"/>
      <c r="D22" s="1"/>
      <c r="E22" s="49"/>
      <c r="F22" s="3"/>
      <c r="G22" s="4"/>
      <c r="H22" s="17"/>
      <c r="I22" s="34">
        <v>0</v>
      </c>
      <c r="J22" s="35">
        <v>0</v>
      </c>
      <c r="K22" s="37">
        <v>0</v>
      </c>
      <c r="L22" s="37">
        <v>0</v>
      </c>
      <c r="M22" s="37">
        <v>0</v>
      </c>
      <c r="N22" s="37">
        <v>0</v>
      </c>
      <c r="O22" s="37">
        <v>0</v>
      </c>
      <c r="P22" s="5">
        <f t="shared" si="2"/>
        <v>0</v>
      </c>
      <c r="Q22" s="8"/>
      <c r="AD22" s="7"/>
    </row>
    <row r="23" spans="2:30" ht="30" customHeight="1" thickTop="1" x14ac:dyDescent="0.3">
      <c r="B23" s="108"/>
      <c r="C23" s="109"/>
      <c r="D23" s="1"/>
      <c r="E23" s="49"/>
      <c r="F23" s="3"/>
      <c r="G23" s="4"/>
      <c r="H23" s="17"/>
      <c r="I23" s="34">
        <v>0</v>
      </c>
      <c r="J23" s="35">
        <v>0</v>
      </c>
      <c r="K23" s="37">
        <v>0</v>
      </c>
      <c r="L23" s="37">
        <v>0</v>
      </c>
      <c r="M23" s="37">
        <v>0</v>
      </c>
      <c r="N23" s="37">
        <v>0</v>
      </c>
      <c r="O23" s="37">
        <v>0</v>
      </c>
      <c r="P23" s="5">
        <f>SUM(I23:O23)</f>
        <v>0</v>
      </c>
      <c r="Q23" s="6"/>
      <c r="AD23" s="7"/>
    </row>
    <row r="24" spans="2:30" ht="33" customHeight="1" x14ac:dyDescent="0.3">
      <c r="B24" s="108"/>
      <c r="C24" s="109"/>
      <c r="D24" s="1"/>
      <c r="E24" s="49"/>
      <c r="F24" s="3"/>
      <c r="G24" s="4"/>
      <c r="H24" s="17"/>
      <c r="I24" s="34">
        <v>0</v>
      </c>
      <c r="J24" s="35">
        <v>0</v>
      </c>
      <c r="K24" s="37">
        <v>0</v>
      </c>
      <c r="L24" s="37">
        <v>0</v>
      </c>
      <c r="M24" s="37">
        <v>0</v>
      </c>
      <c r="N24" s="37">
        <v>0</v>
      </c>
      <c r="O24" s="37">
        <v>0</v>
      </c>
      <c r="P24" s="5">
        <f t="shared" ref="P24" si="3">SUM(I24:O24)</f>
        <v>0</v>
      </c>
      <c r="Q24" s="10"/>
      <c r="AD24" s="7"/>
    </row>
    <row r="25" spans="2:30" ht="33" customHeight="1" x14ac:dyDescent="0.3">
      <c r="B25" s="108"/>
      <c r="C25" s="109"/>
      <c r="D25" s="1"/>
      <c r="E25" s="49"/>
      <c r="F25" s="3"/>
      <c r="G25" s="4"/>
      <c r="H25" s="17"/>
      <c r="I25" s="34">
        <v>0</v>
      </c>
      <c r="J25" s="35">
        <v>0</v>
      </c>
      <c r="K25" s="37">
        <v>0</v>
      </c>
      <c r="L25" s="37">
        <v>0</v>
      </c>
      <c r="M25" s="37">
        <v>0</v>
      </c>
      <c r="N25" s="37">
        <v>0</v>
      </c>
      <c r="O25" s="37">
        <v>0</v>
      </c>
      <c r="P25" s="5">
        <f>SUM(I25:O25)</f>
        <v>0</v>
      </c>
      <c r="Q25" s="10"/>
      <c r="AD25" s="7"/>
    </row>
    <row r="26" spans="2:30" ht="30" customHeight="1" x14ac:dyDescent="0.3">
      <c r="B26" s="108"/>
      <c r="C26" s="109"/>
      <c r="D26" s="1"/>
      <c r="E26" s="49"/>
      <c r="F26" s="3"/>
      <c r="G26" s="4"/>
      <c r="H26" s="17"/>
      <c r="I26" s="34">
        <v>0</v>
      </c>
      <c r="J26" s="35">
        <v>0</v>
      </c>
      <c r="K26" s="37">
        <v>0</v>
      </c>
      <c r="L26" s="37">
        <v>0</v>
      </c>
      <c r="M26" s="37">
        <v>0</v>
      </c>
      <c r="N26" s="37">
        <v>0</v>
      </c>
      <c r="O26" s="37">
        <v>0</v>
      </c>
      <c r="P26" s="5">
        <f t="shared" si="2"/>
        <v>0</v>
      </c>
      <c r="Q26" s="10"/>
      <c r="AD26" s="7"/>
    </row>
    <row r="27" spans="2:30" ht="30" customHeight="1" x14ac:dyDescent="0.3">
      <c r="B27" s="108"/>
      <c r="C27" s="109"/>
      <c r="D27" s="1"/>
      <c r="E27" s="49"/>
      <c r="F27" s="3"/>
      <c r="G27" s="4"/>
      <c r="H27" s="17"/>
      <c r="I27" s="34">
        <v>0</v>
      </c>
      <c r="J27" s="35">
        <v>0</v>
      </c>
      <c r="K27" s="37">
        <v>0</v>
      </c>
      <c r="L27" s="37">
        <v>0</v>
      </c>
      <c r="M27" s="37">
        <v>0</v>
      </c>
      <c r="N27" s="37">
        <v>0</v>
      </c>
      <c r="O27" s="37">
        <v>0</v>
      </c>
      <c r="P27" s="5">
        <f>SUM(I27:O27)</f>
        <v>0</v>
      </c>
      <c r="Q27" s="6"/>
      <c r="AD27" s="7"/>
    </row>
    <row r="28" spans="2:30" ht="30" customHeight="1" x14ac:dyDescent="0.3">
      <c r="B28" s="108"/>
      <c r="C28" s="109"/>
      <c r="D28" s="1"/>
      <c r="E28" s="49"/>
      <c r="F28" s="3"/>
      <c r="G28" s="4"/>
      <c r="H28" s="17"/>
      <c r="I28" s="34">
        <v>0</v>
      </c>
      <c r="J28" s="35">
        <v>0</v>
      </c>
      <c r="K28" s="37">
        <v>0</v>
      </c>
      <c r="L28" s="37">
        <v>0</v>
      </c>
      <c r="M28" s="37">
        <v>0</v>
      </c>
      <c r="N28" s="37">
        <v>0</v>
      </c>
      <c r="O28" s="37">
        <v>0</v>
      </c>
      <c r="P28" s="5">
        <f t="shared" si="2"/>
        <v>0</v>
      </c>
      <c r="Q28" s="6"/>
      <c r="AD28" s="7"/>
    </row>
    <row r="29" spans="2:30" ht="30" customHeight="1" x14ac:dyDescent="0.3">
      <c r="B29" s="108"/>
      <c r="C29" s="109"/>
      <c r="D29" s="1"/>
      <c r="E29" s="49"/>
      <c r="F29" s="3"/>
      <c r="G29" s="4"/>
      <c r="H29" s="17"/>
      <c r="I29" s="34">
        <v>0</v>
      </c>
      <c r="J29" s="35">
        <v>0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5">
        <f t="shared" si="2"/>
        <v>0</v>
      </c>
      <c r="Q29" s="6"/>
      <c r="AD29" s="7"/>
    </row>
    <row r="30" spans="2:30" ht="30" customHeight="1" x14ac:dyDescent="0.3">
      <c r="B30" s="108"/>
      <c r="C30" s="109"/>
      <c r="D30" s="1"/>
      <c r="E30" s="49"/>
      <c r="F30" s="3"/>
      <c r="G30" s="4"/>
      <c r="H30" s="17"/>
      <c r="I30" s="34">
        <v>0</v>
      </c>
      <c r="J30" s="35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5">
        <f t="shared" si="2"/>
        <v>0</v>
      </c>
      <c r="Q30" s="10"/>
      <c r="AD30" s="7"/>
    </row>
    <row r="31" spans="2:30" ht="30" customHeight="1" x14ac:dyDescent="0.3">
      <c r="B31" s="108"/>
      <c r="C31" s="109"/>
      <c r="D31" s="1"/>
      <c r="E31" s="49"/>
      <c r="F31" s="3"/>
      <c r="G31" s="4"/>
      <c r="H31" s="17"/>
      <c r="I31" s="34">
        <v>0</v>
      </c>
      <c r="J31" s="35">
        <v>0</v>
      </c>
      <c r="K31" s="37">
        <v>0</v>
      </c>
      <c r="L31" s="37">
        <v>0</v>
      </c>
      <c r="M31" s="37">
        <v>0</v>
      </c>
      <c r="N31" s="37">
        <v>0</v>
      </c>
      <c r="O31" s="37">
        <v>0</v>
      </c>
      <c r="P31" s="5">
        <f t="shared" si="2"/>
        <v>0</v>
      </c>
      <c r="Q31" s="10"/>
      <c r="AD31" s="7"/>
    </row>
    <row r="32" spans="2:30" ht="30" customHeight="1" x14ac:dyDescent="0.3">
      <c r="B32" s="108"/>
      <c r="C32" s="109"/>
      <c r="D32" s="1"/>
      <c r="E32" s="49"/>
      <c r="F32" s="3"/>
      <c r="G32" s="4"/>
      <c r="H32" s="17"/>
      <c r="I32" s="34">
        <v>0</v>
      </c>
      <c r="J32" s="35">
        <v>0</v>
      </c>
      <c r="K32" s="37">
        <v>0</v>
      </c>
      <c r="L32" s="37">
        <v>0</v>
      </c>
      <c r="M32" s="37">
        <v>0</v>
      </c>
      <c r="N32" s="37">
        <v>0</v>
      </c>
      <c r="O32" s="37">
        <v>0</v>
      </c>
      <c r="P32" s="5">
        <f t="shared" si="2"/>
        <v>0</v>
      </c>
      <c r="Q32" s="6"/>
      <c r="AD32" s="7"/>
    </row>
    <row r="33" spans="2:30" ht="30" customHeight="1" x14ac:dyDescent="0.3">
      <c r="B33" s="108"/>
      <c r="C33" s="109"/>
      <c r="D33" s="1"/>
      <c r="E33" s="49"/>
      <c r="F33" s="3"/>
      <c r="G33" s="4"/>
      <c r="H33" s="17"/>
      <c r="I33" s="34">
        <v>0</v>
      </c>
      <c r="J33" s="35">
        <v>0</v>
      </c>
      <c r="K33" s="37">
        <v>0</v>
      </c>
      <c r="L33" s="37">
        <v>0</v>
      </c>
      <c r="M33" s="37">
        <v>0</v>
      </c>
      <c r="N33" s="37">
        <v>0</v>
      </c>
      <c r="O33" s="37">
        <v>0</v>
      </c>
      <c r="P33" s="5">
        <f>SUM(I33:O33)</f>
        <v>0</v>
      </c>
      <c r="Q33" s="6"/>
      <c r="AD33" s="7"/>
    </row>
    <row r="34" spans="2:30" ht="30" customHeight="1" x14ac:dyDescent="0.3">
      <c r="B34" s="108"/>
      <c r="C34" s="109"/>
      <c r="D34" s="1"/>
      <c r="E34" s="49"/>
      <c r="F34" s="3"/>
      <c r="G34" s="4"/>
      <c r="H34" s="17"/>
      <c r="I34" s="34">
        <v>0</v>
      </c>
      <c r="J34" s="35">
        <v>0</v>
      </c>
      <c r="K34" s="37">
        <v>0</v>
      </c>
      <c r="L34" s="37">
        <v>0</v>
      </c>
      <c r="M34" s="37">
        <v>0</v>
      </c>
      <c r="N34" s="37">
        <v>0</v>
      </c>
      <c r="O34" s="37">
        <v>0</v>
      </c>
      <c r="P34" s="5">
        <f>SUM(I34:O34)</f>
        <v>0</v>
      </c>
      <c r="Q34" s="10"/>
      <c r="AD34" s="7"/>
    </row>
    <row r="35" spans="2:30" ht="30" customHeight="1" x14ac:dyDescent="0.3">
      <c r="B35" s="108"/>
      <c r="C35" s="109"/>
      <c r="D35" s="1"/>
      <c r="E35" s="49"/>
      <c r="F35" s="3"/>
      <c r="G35" s="4"/>
      <c r="H35" s="17"/>
      <c r="I35" s="34">
        <v>0</v>
      </c>
      <c r="J35" s="35">
        <v>0</v>
      </c>
      <c r="K35" s="37">
        <v>0</v>
      </c>
      <c r="L35" s="37">
        <v>0</v>
      </c>
      <c r="M35" s="37">
        <v>0</v>
      </c>
      <c r="N35" s="37">
        <v>0</v>
      </c>
      <c r="O35" s="37">
        <v>0</v>
      </c>
      <c r="P35" s="5">
        <f>SUM(I35:O35)</f>
        <v>0</v>
      </c>
      <c r="Q35" s="6"/>
      <c r="AD35" s="7"/>
    </row>
    <row r="36" spans="2:30" ht="30" customHeight="1" x14ac:dyDescent="0.3">
      <c r="B36" s="108"/>
      <c r="C36" s="109"/>
      <c r="D36" s="1"/>
      <c r="E36" s="49"/>
      <c r="F36" s="3"/>
      <c r="G36" s="4"/>
      <c r="H36" s="17"/>
      <c r="I36" s="34">
        <v>0</v>
      </c>
      <c r="J36" s="35">
        <v>0</v>
      </c>
      <c r="K36" s="37">
        <v>0</v>
      </c>
      <c r="L36" s="37">
        <v>0</v>
      </c>
      <c r="M36" s="37">
        <v>0</v>
      </c>
      <c r="N36" s="37">
        <v>0</v>
      </c>
      <c r="O36" s="37">
        <v>0</v>
      </c>
      <c r="P36" s="5">
        <f>SUM(I36:O36)</f>
        <v>0</v>
      </c>
      <c r="Q36" s="6"/>
      <c r="AD36" s="7"/>
    </row>
    <row r="37" spans="2:30" ht="30" customHeight="1" x14ac:dyDescent="0.3">
      <c r="B37" s="108"/>
      <c r="C37" s="109"/>
      <c r="D37" s="1"/>
      <c r="E37" s="49"/>
      <c r="F37" s="3"/>
      <c r="G37" s="4"/>
      <c r="H37" s="17"/>
      <c r="I37" s="34">
        <v>0</v>
      </c>
      <c r="J37" s="35">
        <v>0</v>
      </c>
      <c r="K37" s="37">
        <v>0</v>
      </c>
      <c r="L37" s="37">
        <v>0</v>
      </c>
      <c r="M37" s="37">
        <v>0</v>
      </c>
      <c r="N37" s="37">
        <v>0</v>
      </c>
      <c r="O37" s="37">
        <v>0</v>
      </c>
      <c r="P37" s="5">
        <f>SUM(I37:O37)</f>
        <v>0</v>
      </c>
      <c r="Q37" s="10"/>
      <c r="AD37" s="7"/>
    </row>
    <row r="38" spans="2:30" ht="30" customHeight="1" thickBot="1" x14ac:dyDescent="0.35">
      <c r="B38" s="108"/>
      <c r="C38" s="109"/>
      <c r="D38" s="1"/>
      <c r="E38" s="49"/>
      <c r="F38" s="3"/>
      <c r="G38" s="4"/>
      <c r="H38" s="17"/>
      <c r="I38" s="34">
        <v>0</v>
      </c>
      <c r="J38" s="35">
        <v>0</v>
      </c>
      <c r="K38" s="37">
        <v>0</v>
      </c>
      <c r="L38" s="37">
        <v>0</v>
      </c>
      <c r="M38" s="37">
        <v>0</v>
      </c>
      <c r="N38" s="37">
        <v>0</v>
      </c>
      <c r="O38" s="37">
        <v>0</v>
      </c>
      <c r="P38" s="5">
        <f t="shared" si="2"/>
        <v>0</v>
      </c>
      <c r="Q38" s="9"/>
      <c r="AD38" s="7"/>
    </row>
    <row r="39" spans="2:30" ht="30" customHeight="1" thickTop="1" thickBot="1" x14ac:dyDescent="0.35">
      <c r="B39" s="108"/>
      <c r="C39" s="109"/>
      <c r="D39" s="1"/>
      <c r="E39" s="49"/>
      <c r="F39" s="3"/>
      <c r="G39" s="4"/>
      <c r="H39" s="17"/>
      <c r="I39" s="34">
        <v>0</v>
      </c>
      <c r="J39" s="35">
        <v>0</v>
      </c>
      <c r="K39" s="37">
        <v>0</v>
      </c>
      <c r="L39" s="37">
        <v>0</v>
      </c>
      <c r="M39" s="37">
        <v>0</v>
      </c>
      <c r="N39" s="37">
        <v>0</v>
      </c>
      <c r="O39" s="37">
        <v>0</v>
      </c>
      <c r="P39" s="5">
        <f t="shared" si="2"/>
        <v>0</v>
      </c>
      <c r="Q39" s="8"/>
      <c r="AD39" s="7"/>
    </row>
    <row r="40" spans="2:30" ht="30" customHeight="1" thickTop="1" thickBot="1" x14ac:dyDescent="0.35">
      <c r="B40" s="108"/>
      <c r="C40" s="109"/>
      <c r="D40" s="1"/>
      <c r="E40" s="49"/>
      <c r="F40" s="3"/>
      <c r="G40" s="4"/>
      <c r="H40" s="17"/>
      <c r="I40" s="34">
        <v>0</v>
      </c>
      <c r="J40" s="35">
        <v>0</v>
      </c>
      <c r="K40" s="37">
        <v>0</v>
      </c>
      <c r="L40" s="37">
        <v>0</v>
      </c>
      <c r="M40" s="37">
        <v>0</v>
      </c>
      <c r="N40" s="37">
        <v>0</v>
      </c>
      <c r="O40" s="37">
        <v>0</v>
      </c>
      <c r="P40" s="5">
        <f t="shared" si="2"/>
        <v>0</v>
      </c>
      <c r="Q40" s="12"/>
      <c r="AD40" s="7"/>
    </row>
    <row r="41" spans="2:30" ht="30" customHeight="1" thickTop="1" x14ac:dyDescent="0.3">
      <c r="B41" s="108"/>
      <c r="C41" s="109"/>
      <c r="D41" s="1"/>
      <c r="E41" s="49"/>
      <c r="F41" s="3"/>
      <c r="G41" s="4"/>
      <c r="H41" s="17"/>
      <c r="I41" s="34">
        <v>0</v>
      </c>
      <c r="J41" s="35">
        <v>0</v>
      </c>
      <c r="K41" s="37">
        <v>0</v>
      </c>
      <c r="L41" s="37">
        <v>0</v>
      </c>
      <c r="M41" s="37">
        <v>0</v>
      </c>
      <c r="N41" s="37">
        <v>0</v>
      </c>
      <c r="O41" s="37">
        <v>0</v>
      </c>
      <c r="P41" s="5">
        <f t="shared" si="2"/>
        <v>0</v>
      </c>
      <c r="Q41" s="10"/>
      <c r="AD41" s="7"/>
    </row>
    <row r="42" spans="2:30" ht="33" customHeight="1" thickBot="1" x14ac:dyDescent="0.35">
      <c r="B42" s="108"/>
      <c r="C42" s="109"/>
      <c r="D42" s="1"/>
      <c r="E42" s="49"/>
      <c r="F42" s="3"/>
      <c r="G42" s="4"/>
      <c r="H42" s="17"/>
      <c r="I42" s="34">
        <v>0</v>
      </c>
      <c r="J42" s="35">
        <v>0</v>
      </c>
      <c r="K42" s="37">
        <v>0</v>
      </c>
      <c r="L42" s="37">
        <v>0</v>
      </c>
      <c r="M42" s="37">
        <v>0</v>
      </c>
      <c r="N42" s="37">
        <v>0</v>
      </c>
      <c r="O42" s="37">
        <v>0</v>
      </c>
      <c r="P42" s="5">
        <f t="shared" si="2"/>
        <v>0</v>
      </c>
      <c r="Q42" s="8"/>
      <c r="AD42" s="7"/>
    </row>
    <row r="43" spans="2:30" ht="33" customHeight="1" thickTop="1" x14ac:dyDescent="0.3">
      <c r="B43" s="108"/>
      <c r="C43" s="109"/>
      <c r="D43" s="1"/>
      <c r="E43" s="49"/>
      <c r="F43" s="3"/>
      <c r="G43" s="4"/>
      <c r="H43" s="17"/>
      <c r="I43" s="34">
        <v>0</v>
      </c>
      <c r="J43" s="35">
        <v>0</v>
      </c>
      <c r="K43" s="37">
        <v>0</v>
      </c>
      <c r="L43" s="37">
        <v>0</v>
      </c>
      <c r="M43" s="37">
        <v>0</v>
      </c>
      <c r="N43" s="37">
        <v>0</v>
      </c>
      <c r="O43" s="37">
        <v>0</v>
      </c>
      <c r="P43" s="5">
        <f t="shared" si="2"/>
        <v>0</v>
      </c>
      <c r="Q43" s="10"/>
      <c r="AD43" s="7"/>
    </row>
    <row r="44" spans="2:30" ht="30" customHeight="1" x14ac:dyDescent="0.3">
      <c r="B44" s="108"/>
      <c r="C44" s="109"/>
      <c r="D44" s="1"/>
      <c r="E44" s="49"/>
      <c r="F44" s="3"/>
      <c r="G44" s="4"/>
      <c r="H44" s="17"/>
      <c r="I44" s="34">
        <v>0</v>
      </c>
      <c r="J44" s="35">
        <v>0</v>
      </c>
      <c r="K44" s="37">
        <v>0</v>
      </c>
      <c r="L44" s="37">
        <v>0</v>
      </c>
      <c r="M44" s="37">
        <v>0</v>
      </c>
      <c r="N44" s="37">
        <v>0</v>
      </c>
      <c r="O44" s="37">
        <v>0</v>
      </c>
      <c r="P44" s="5">
        <f t="shared" si="2"/>
        <v>0</v>
      </c>
      <c r="Q44" s="10"/>
      <c r="AD44" s="7"/>
    </row>
    <row r="45" spans="2:30" ht="30" customHeight="1" x14ac:dyDescent="0.3">
      <c r="B45" s="108"/>
      <c r="C45" s="109"/>
      <c r="D45" s="1"/>
      <c r="E45" s="49"/>
      <c r="F45" s="3"/>
      <c r="G45" s="4"/>
      <c r="H45" s="17"/>
      <c r="I45" s="34">
        <v>0</v>
      </c>
      <c r="J45" s="35">
        <v>0</v>
      </c>
      <c r="K45" s="37">
        <v>0</v>
      </c>
      <c r="L45" s="37">
        <v>0</v>
      </c>
      <c r="M45" s="37">
        <v>0</v>
      </c>
      <c r="N45" s="37">
        <v>0</v>
      </c>
      <c r="O45" s="37">
        <v>0</v>
      </c>
      <c r="P45" s="5">
        <f>SUM(I45:O45)</f>
        <v>0</v>
      </c>
      <c r="Q45" s="6"/>
      <c r="AD45" s="7"/>
    </row>
    <row r="46" spans="2:30" ht="30" customHeight="1" thickBot="1" x14ac:dyDescent="0.35">
      <c r="B46" s="108"/>
      <c r="C46" s="109"/>
      <c r="D46" s="1"/>
      <c r="E46" s="49"/>
      <c r="F46" s="3"/>
      <c r="G46" s="4"/>
      <c r="H46" s="17"/>
      <c r="I46" s="34">
        <v>0</v>
      </c>
      <c r="J46" s="35">
        <v>0</v>
      </c>
      <c r="K46" s="37">
        <v>0</v>
      </c>
      <c r="L46" s="37">
        <v>0</v>
      </c>
      <c r="M46" s="37">
        <v>0</v>
      </c>
      <c r="N46" s="37">
        <v>0</v>
      </c>
      <c r="O46" s="37">
        <v>0</v>
      </c>
      <c r="P46" s="5">
        <f>SUM(I46:O46)</f>
        <v>0</v>
      </c>
      <c r="Q46" s="9"/>
      <c r="AD46" s="7"/>
    </row>
    <row r="47" spans="2:30" ht="33" customHeight="1" thickTop="1" x14ac:dyDescent="0.3">
      <c r="B47" s="108"/>
      <c r="C47" s="109"/>
      <c r="D47" s="1"/>
      <c r="E47" s="49"/>
      <c r="F47" s="3"/>
      <c r="G47" s="4"/>
      <c r="H47" s="17"/>
      <c r="I47" s="34">
        <v>0</v>
      </c>
      <c r="J47" s="35">
        <v>0</v>
      </c>
      <c r="K47" s="37">
        <v>0</v>
      </c>
      <c r="L47" s="37">
        <v>0</v>
      </c>
      <c r="M47" s="37">
        <v>0</v>
      </c>
      <c r="N47" s="37">
        <v>0</v>
      </c>
      <c r="O47" s="37">
        <v>0</v>
      </c>
      <c r="P47" s="5">
        <f>SUM(I47:O47)</f>
        <v>0</v>
      </c>
      <c r="Q47" s="10"/>
      <c r="AD47" s="7"/>
    </row>
    <row r="48" spans="2:30" ht="30" customHeight="1" thickBot="1" x14ac:dyDescent="0.35">
      <c r="B48" s="108"/>
      <c r="C48" s="109"/>
      <c r="D48" s="1"/>
      <c r="E48" s="49"/>
      <c r="F48" s="3"/>
      <c r="G48" s="4"/>
      <c r="H48" s="17"/>
      <c r="I48" s="34">
        <v>0</v>
      </c>
      <c r="J48" s="35">
        <v>0</v>
      </c>
      <c r="K48" s="37">
        <v>0</v>
      </c>
      <c r="L48" s="37">
        <v>0</v>
      </c>
      <c r="M48" s="37">
        <v>0</v>
      </c>
      <c r="N48" s="37">
        <v>0</v>
      </c>
      <c r="O48" s="37">
        <v>0</v>
      </c>
      <c r="P48" s="5">
        <f t="shared" si="2"/>
        <v>0</v>
      </c>
      <c r="Q48" s="9"/>
      <c r="AD48" s="7"/>
    </row>
    <row r="49" spans="2:30" ht="30" customHeight="1" thickTop="1" thickBot="1" x14ac:dyDescent="0.35">
      <c r="B49" s="108"/>
      <c r="C49" s="109"/>
      <c r="D49" s="1"/>
      <c r="E49" s="49"/>
      <c r="F49" s="3"/>
      <c r="G49" s="4"/>
      <c r="H49" s="17"/>
      <c r="I49" s="34">
        <v>0</v>
      </c>
      <c r="J49" s="35">
        <v>0</v>
      </c>
      <c r="K49" s="37">
        <v>0</v>
      </c>
      <c r="L49" s="37">
        <v>0</v>
      </c>
      <c r="M49" s="37">
        <v>0</v>
      </c>
      <c r="N49" s="37">
        <v>0</v>
      </c>
      <c r="O49" s="37">
        <v>0</v>
      </c>
      <c r="P49" s="5">
        <f t="shared" si="2"/>
        <v>0</v>
      </c>
      <c r="Q49" s="9"/>
      <c r="AD49" s="7"/>
    </row>
    <row r="50" spans="2:30" ht="30" customHeight="1" thickTop="1" x14ac:dyDescent="0.3">
      <c r="B50" s="108"/>
      <c r="C50" s="109"/>
      <c r="D50" s="1"/>
      <c r="E50" s="49"/>
      <c r="F50" s="3"/>
      <c r="G50" s="4"/>
      <c r="H50" s="17"/>
      <c r="I50" s="34">
        <v>0</v>
      </c>
      <c r="J50" s="35">
        <v>0</v>
      </c>
      <c r="K50" s="37">
        <v>0</v>
      </c>
      <c r="L50" s="37">
        <v>0</v>
      </c>
      <c r="M50" s="37">
        <v>0</v>
      </c>
      <c r="N50" s="37">
        <v>0</v>
      </c>
      <c r="O50" s="37">
        <v>0</v>
      </c>
      <c r="P50" s="5">
        <f>SUM(I50:O50)</f>
        <v>0</v>
      </c>
      <c r="Q50" s="10"/>
      <c r="AD50" s="7"/>
    </row>
    <row r="51" spans="2:30" ht="33" customHeight="1" x14ac:dyDescent="0.3">
      <c r="B51" s="108"/>
      <c r="C51" s="109"/>
      <c r="D51" s="1"/>
      <c r="E51" s="49"/>
      <c r="F51" s="3"/>
      <c r="G51" s="4"/>
      <c r="H51" s="17"/>
      <c r="I51" s="34">
        <v>0</v>
      </c>
      <c r="J51" s="35">
        <v>0</v>
      </c>
      <c r="K51" s="37">
        <v>0</v>
      </c>
      <c r="L51" s="37">
        <v>0</v>
      </c>
      <c r="M51" s="37">
        <v>0</v>
      </c>
      <c r="N51" s="37">
        <v>0</v>
      </c>
      <c r="O51" s="37">
        <v>0</v>
      </c>
      <c r="P51" s="5">
        <f t="shared" si="2"/>
        <v>0</v>
      </c>
      <c r="Q51" s="10"/>
      <c r="AD51" s="7"/>
    </row>
    <row r="52" spans="2:30" ht="30" customHeight="1" x14ac:dyDescent="0.3">
      <c r="B52" s="108"/>
      <c r="C52" s="109"/>
      <c r="D52" s="1"/>
      <c r="E52" s="49"/>
      <c r="F52" s="3"/>
      <c r="G52" s="4"/>
      <c r="H52" s="17"/>
      <c r="I52" s="34">
        <v>0</v>
      </c>
      <c r="J52" s="35">
        <v>0</v>
      </c>
      <c r="K52" s="37">
        <v>0</v>
      </c>
      <c r="L52" s="37">
        <v>0</v>
      </c>
      <c r="M52" s="37">
        <v>0</v>
      </c>
      <c r="N52" s="37">
        <v>0</v>
      </c>
      <c r="O52" s="37">
        <v>0</v>
      </c>
      <c r="P52" s="5">
        <f t="shared" si="2"/>
        <v>0</v>
      </c>
      <c r="Q52" s="10"/>
      <c r="AD52" s="7"/>
    </row>
    <row r="53" spans="2:30" ht="33" customHeight="1" x14ac:dyDescent="0.3">
      <c r="B53" s="108"/>
      <c r="C53" s="109"/>
      <c r="D53" s="1"/>
      <c r="E53" s="49"/>
      <c r="F53" s="3"/>
      <c r="G53" s="4"/>
      <c r="H53" s="17"/>
      <c r="I53" s="34">
        <v>0</v>
      </c>
      <c r="J53" s="35">
        <v>0</v>
      </c>
      <c r="K53" s="37">
        <v>0</v>
      </c>
      <c r="L53" s="37">
        <v>0</v>
      </c>
      <c r="M53" s="37">
        <v>0</v>
      </c>
      <c r="N53" s="37">
        <v>0</v>
      </c>
      <c r="O53" s="37">
        <v>0</v>
      </c>
      <c r="P53" s="5">
        <f>SUM(I53:O53)</f>
        <v>0</v>
      </c>
      <c r="Q53" s="6"/>
      <c r="AD53" s="7"/>
    </row>
    <row r="54" spans="2:30" ht="30" customHeight="1" x14ac:dyDescent="0.3">
      <c r="B54" s="108"/>
      <c r="C54" s="109"/>
      <c r="D54" s="1"/>
      <c r="E54" s="49"/>
      <c r="F54" s="3"/>
      <c r="G54" s="4"/>
      <c r="H54" s="17"/>
      <c r="I54" s="34">
        <v>0</v>
      </c>
      <c r="J54" s="35">
        <v>0</v>
      </c>
      <c r="K54" s="37">
        <v>0</v>
      </c>
      <c r="L54" s="37">
        <v>0</v>
      </c>
      <c r="M54" s="37">
        <v>0</v>
      </c>
      <c r="N54" s="37">
        <v>0</v>
      </c>
      <c r="O54" s="37">
        <v>0</v>
      </c>
      <c r="P54" s="5">
        <f t="shared" si="2"/>
        <v>0</v>
      </c>
      <c r="Q54" s="10"/>
      <c r="AD54" s="7"/>
    </row>
    <row r="55" spans="2:30" ht="30" customHeight="1" x14ac:dyDescent="0.3">
      <c r="B55" s="108"/>
      <c r="C55" s="109"/>
      <c r="D55" s="1"/>
      <c r="E55" s="49"/>
      <c r="F55" s="3"/>
      <c r="G55" s="4"/>
      <c r="H55" s="17"/>
      <c r="I55" s="34">
        <v>0</v>
      </c>
      <c r="J55" s="35">
        <v>0</v>
      </c>
      <c r="K55" s="37">
        <v>0</v>
      </c>
      <c r="L55" s="37">
        <v>0</v>
      </c>
      <c r="M55" s="37">
        <v>0</v>
      </c>
      <c r="N55" s="37">
        <v>0</v>
      </c>
      <c r="O55" s="37">
        <v>0</v>
      </c>
      <c r="P55" s="5">
        <f t="shared" si="2"/>
        <v>0</v>
      </c>
      <c r="Q55" s="6"/>
      <c r="AD55" s="7"/>
    </row>
    <row r="56" spans="2:30" ht="30" customHeight="1" x14ac:dyDescent="0.3">
      <c r="B56" s="108"/>
      <c r="C56" s="109"/>
      <c r="D56" s="1"/>
      <c r="E56" s="49"/>
      <c r="F56" s="3"/>
      <c r="G56" s="4"/>
      <c r="H56" s="17"/>
      <c r="I56" s="34">
        <v>0</v>
      </c>
      <c r="J56" s="35">
        <v>0</v>
      </c>
      <c r="K56" s="37">
        <v>0</v>
      </c>
      <c r="L56" s="37">
        <v>0</v>
      </c>
      <c r="M56" s="37">
        <v>0</v>
      </c>
      <c r="N56" s="37">
        <v>0</v>
      </c>
      <c r="O56" s="37">
        <v>0</v>
      </c>
      <c r="P56" s="5">
        <f t="shared" si="2"/>
        <v>0</v>
      </c>
      <c r="Q56" s="6"/>
      <c r="AD56" s="7"/>
    </row>
    <row r="57" spans="2:30" ht="30" customHeight="1" x14ac:dyDescent="0.3">
      <c r="B57" s="108"/>
      <c r="C57" s="109"/>
      <c r="D57" s="1"/>
      <c r="E57" s="49"/>
      <c r="F57" s="3"/>
      <c r="G57" s="4"/>
      <c r="H57" s="17"/>
      <c r="I57" s="34">
        <v>0</v>
      </c>
      <c r="J57" s="35">
        <v>0</v>
      </c>
      <c r="K57" s="37">
        <v>0</v>
      </c>
      <c r="L57" s="37">
        <v>0</v>
      </c>
      <c r="M57" s="37">
        <v>0</v>
      </c>
      <c r="N57" s="37">
        <v>0</v>
      </c>
      <c r="O57" s="37">
        <v>0</v>
      </c>
      <c r="P57" s="5">
        <f t="shared" si="2"/>
        <v>0</v>
      </c>
      <c r="Q57" s="10"/>
      <c r="AD57" s="7"/>
    </row>
    <row r="58" spans="2:30" ht="30" customHeight="1" x14ac:dyDescent="0.3">
      <c r="B58" s="108"/>
      <c r="C58" s="109"/>
      <c r="D58" s="1"/>
      <c r="E58" s="49"/>
      <c r="F58" s="3"/>
      <c r="G58" s="4"/>
      <c r="H58" s="17"/>
      <c r="I58" s="34">
        <v>0</v>
      </c>
      <c r="J58" s="35">
        <v>0</v>
      </c>
      <c r="K58" s="37">
        <v>0</v>
      </c>
      <c r="L58" s="37">
        <v>0</v>
      </c>
      <c r="M58" s="37">
        <v>0</v>
      </c>
      <c r="N58" s="37">
        <v>0</v>
      </c>
      <c r="O58" s="37">
        <v>0</v>
      </c>
      <c r="P58" s="5">
        <f t="shared" si="2"/>
        <v>0</v>
      </c>
      <c r="Q58" s="10"/>
      <c r="AD58" s="7"/>
    </row>
    <row r="59" spans="2:30" ht="30" customHeight="1" thickBot="1" x14ac:dyDescent="0.35">
      <c r="B59" s="108"/>
      <c r="C59" s="109"/>
      <c r="D59" s="1"/>
      <c r="E59" s="49"/>
      <c r="F59" s="3"/>
      <c r="G59" s="4"/>
      <c r="H59" s="17"/>
      <c r="I59" s="34">
        <v>0</v>
      </c>
      <c r="J59" s="35">
        <v>0</v>
      </c>
      <c r="K59" s="37">
        <v>0</v>
      </c>
      <c r="L59" s="37">
        <v>0</v>
      </c>
      <c r="M59" s="37">
        <v>0</v>
      </c>
      <c r="N59" s="37">
        <v>0</v>
      </c>
      <c r="O59" s="37">
        <v>0</v>
      </c>
      <c r="P59" s="5">
        <f t="shared" si="2"/>
        <v>0</v>
      </c>
      <c r="Q59" s="10"/>
      <c r="AD59" s="7"/>
    </row>
    <row r="60" spans="2:30" ht="30" customHeight="1" thickTop="1" thickBot="1" x14ac:dyDescent="0.35">
      <c r="B60" s="108"/>
      <c r="C60" s="109"/>
      <c r="D60" s="1"/>
      <c r="E60" s="49"/>
      <c r="F60" s="3"/>
      <c r="G60" s="4"/>
      <c r="H60" s="17"/>
      <c r="I60" s="34">
        <v>0</v>
      </c>
      <c r="J60" s="35">
        <v>0</v>
      </c>
      <c r="K60" s="37">
        <v>0</v>
      </c>
      <c r="L60" s="37">
        <v>0</v>
      </c>
      <c r="M60" s="37">
        <v>0</v>
      </c>
      <c r="N60" s="37">
        <v>0</v>
      </c>
      <c r="O60" s="37">
        <v>0</v>
      </c>
      <c r="P60" s="5">
        <f>SUM(I60:O60)</f>
        <v>0</v>
      </c>
      <c r="Q60" s="12"/>
      <c r="AD60" s="7"/>
    </row>
    <row r="61" spans="2:30" ht="18.899999999999999" thickTop="1" x14ac:dyDescent="0.3">
      <c r="B61" s="108"/>
      <c r="C61" s="109"/>
      <c r="D61" s="1"/>
      <c r="E61" s="49"/>
      <c r="F61" s="3"/>
      <c r="G61" s="4"/>
      <c r="H61" s="17"/>
      <c r="I61" s="34">
        <v>0</v>
      </c>
      <c r="J61" s="35">
        <v>0</v>
      </c>
      <c r="K61" s="37">
        <v>0</v>
      </c>
      <c r="L61" s="37">
        <v>0</v>
      </c>
      <c r="M61" s="37">
        <v>0</v>
      </c>
      <c r="N61" s="37">
        <v>0</v>
      </c>
      <c r="O61" s="37">
        <v>0</v>
      </c>
      <c r="P61" s="5">
        <f>SUM(I61:O61)</f>
        <v>0</v>
      </c>
      <c r="Q61" s="10"/>
      <c r="AD61" s="7"/>
    </row>
    <row r="62" spans="2:30" ht="30" customHeight="1" x14ac:dyDescent="0.3">
      <c r="B62" s="108"/>
      <c r="C62" s="109"/>
      <c r="D62" s="1"/>
      <c r="E62" s="49"/>
      <c r="F62" s="3"/>
      <c r="G62" s="4"/>
      <c r="H62" s="17"/>
      <c r="I62" s="34">
        <v>0</v>
      </c>
      <c r="J62" s="35">
        <v>0</v>
      </c>
      <c r="K62" s="37">
        <v>0</v>
      </c>
      <c r="L62" s="37">
        <v>0</v>
      </c>
      <c r="M62" s="37">
        <v>0</v>
      </c>
      <c r="N62" s="37">
        <v>0</v>
      </c>
      <c r="O62" s="37">
        <v>0</v>
      </c>
      <c r="P62" s="5">
        <f>SUM(I62:O62)</f>
        <v>0</v>
      </c>
      <c r="Q62" s="6"/>
      <c r="AD62" s="7"/>
    </row>
    <row r="63" spans="2:30" ht="30" customHeight="1" x14ac:dyDescent="0.3">
      <c r="B63" s="108"/>
      <c r="C63" s="109"/>
      <c r="D63" s="1"/>
      <c r="E63" s="49"/>
      <c r="F63" s="3"/>
      <c r="G63" s="4"/>
      <c r="H63" s="17"/>
      <c r="I63" s="34">
        <v>0</v>
      </c>
      <c r="J63" s="35">
        <v>0</v>
      </c>
      <c r="K63" s="37">
        <v>0</v>
      </c>
      <c r="L63" s="37">
        <v>0</v>
      </c>
      <c r="M63" s="37">
        <v>0</v>
      </c>
      <c r="N63" s="37">
        <v>0</v>
      </c>
      <c r="O63" s="37">
        <v>0</v>
      </c>
      <c r="P63" s="5">
        <f>SUM(I63:O63)</f>
        <v>0</v>
      </c>
      <c r="Q63" s="10"/>
      <c r="AD63" s="7"/>
    </row>
    <row r="64" spans="2:30" ht="30" customHeight="1" x14ac:dyDescent="0.3">
      <c r="B64" s="108"/>
      <c r="C64" s="109"/>
      <c r="D64" s="1"/>
      <c r="E64" s="49"/>
      <c r="F64" s="3"/>
      <c r="G64" s="4"/>
      <c r="H64" s="17"/>
      <c r="I64" s="34">
        <v>0</v>
      </c>
      <c r="J64" s="35">
        <v>0</v>
      </c>
      <c r="K64" s="37">
        <v>0</v>
      </c>
      <c r="L64" s="37">
        <v>0</v>
      </c>
      <c r="M64" s="37">
        <v>0</v>
      </c>
      <c r="N64" s="37">
        <v>0</v>
      </c>
      <c r="O64" s="37">
        <v>0</v>
      </c>
      <c r="P64" s="5">
        <f t="shared" ref="P64" si="4">SUM(I64:O64)</f>
        <v>0</v>
      </c>
      <c r="Q64" s="10"/>
      <c r="AD64" s="7"/>
    </row>
    <row r="65" spans="2:30" ht="33" customHeight="1" x14ac:dyDescent="0.3">
      <c r="B65" s="108"/>
      <c r="C65" s="109"/>
      <c r="D65" s="1"/>
      <c r="E65" s="49"/>
      <c r="F65" s="3"/>
      <c r="G65" s="4"/>
      <c r="H65" s="17"/>
      <c r="I65" s="34">
        <v>0</v>
      </c>
      <c r="J65" s="35">
        <v>0</v>
      </c>
      <c r="K65" s="37">
        <v>0</v>
      </c>
      <c r="L65" s="37">
        <v>0</v>
      </c>
      <c r="M65" s="37">
        <v>0</v>
      </c>
      <c r="N65" s="37">
        <v>0</v>
      </c>
      <c r="O65" s="37">
        <v>0</v>
      </c>
      <c r="P65" s="5">
        <f>SUM(I65:O65)</f>
        <v>0</v>
      </c>
      <c r="Q65" s="10"/>
      <c r="T65" s="13"/>
      <c r="AD65" s="7"/>
    </row>
    <row r="66" spans="2:30" ht="30" customHeight="1" x14ac:dyDescent="0.3">
      <c r="B66" s="108"/>
      <c r="C66" s="109"/>
      <c r="D66" s="1"/>
      <c r="E66" s="49"/>
      <c r="F66" s="3"/>
      <c r="G66" s="4"/>
      <c r="H66" s="17"/>
      <c r="I66" s="34">
        <v>0</v>
      </c>
      <c r="J66" s="35">
        <v>0</v>
      </c>
      <c r="K66" s="37">
        <v>0</v>
      </c>
      <c r="L66" s="37">
        <v>0</v>
      </c>
      <c r="M66" s="37">
        <v>0</v>
      </c>
      <c r="N66" s="37">
        <v>0</v>
      </c>
      <c r="O66" s="37">
        <v>0</v>
      </c>
      <c r="P66" s="5">
        <f t="shared" ref="P66:P72" si="5">SUM(I66:O66)</f>
        <v>0</v>
      </c>
      <c r="Q66" s="10"/>
      <c r="AD66" s="7"/>
    </row>
    <row r="67" spans="2:30" ht="30" customHeight="1" x14ac:dyDescent="0.3">
      <c r="B67" s="108"/>
      <c r="C67" s="109"/>
      <c r="D67" s="1"/>
      <c r="E67" s="49"/>
      <c r="F67" s="3"/>
      <c r="G67" s="4"/>
      <c r="H67" s="17"/>
      <c r="I67" s="34">
        <v>0</v>
      </c>
      <c r="J67" s="35">
        <v>0</v>
      </c>
      <c r="K67" s="37">
        <v>0</v>
      </c>
      <c r="L67" s="37">
        <v>0</v>
      </c>
      <c r="M67" s="37">
        <v>0</v>
      </c>
      <c r="N67" s="37">
        <v>0</v>
      </c>
      <c r="O67" s="37">
        <v>0</v>
      </c>
      <c r="P67" s="5">
        <f t="shared" si="5"/>
        <v>0</v>
      </c>
      <c r="Q67" s="10"/>
      <c r="AD67" s="7"/>
    </row>
    <row r="68" spans="2:30" ht="30" customHeight="1" x14ac:dyDescent="0.3">
      <c r="B68" s="108"/>
      <c r="C68" s="109"/>
      <c r="D68" s="1"/>
      <c r="E68" s="49"/>
      <c r="F68" s="3"/>
      <c r="G68" s="4"/>
      <c r="H68" s="17"/>
      <c r="I68" s="34">
        <v>0</v>
      </c>
      <c r="J68" s="35">
        <v>0</v>
      </c>
      <c r="K68" s="37">
        <v>0</v>
      </c>
      <c r="L68" s="37">
        <v>0</v>
      </c>
      <c r="M68" s="37">
        <v>0</v>
      </c>
      <c r="N68" s="37">
        <v>0</v>
      </c>
      <c r="O68" s="37">
        <v>0</v>
      </c>
      <c r="P68" s="5">
        <f t="shared" si="5"/>
        <v>0</v>
      </c>
      <c r="Q68" s="6"/>
      <c r="AD68" s="7"/>
    </row>
    <row r="69" spans="2:30" ht="33" customHeight="1" x14ac:dyDescent="0.3">
      <c r="B69" s="108"/>
      <c r="C69" s="109"/>
      <c r="D69" s="1"/>
      <c r="E69" s="49"/>
      <c r="F69" s="3"/>
      <c r="G69" s="4"/>
      <c r="H69" s="17"/>
      <c r="I69" s="34">
        <v>0</v>
      </c>
      <c r="J69" s="35">
        <v>0</v>
      </c>
      <c r="K69" s="37">
        <v>0</v>
      </c>
      <c r="L69" s="37">
        <v>0</v>
      </c>
      <c r="M69" s="37">
        <v>0</v>
      </c>
      <c r="N69" s="37">
        <v>0</v>
      </c>
      <c r="O69" s="37">
        <v>0</v>
      </c>
      <c r="P69" s="5">
        <f t="shared" si="5"/>
        <v>0</v>
      </c>
      <c r="Q69" s="6"/>
      <c r="AD69" s="7"/>
    </row>
    <row r="70" spans="2:30" ht="33" customHeight="1" x14ac:dyDescent="0.3">
      <c r="B70" s="108"/>
      <c r="C70" s="109"/>
      <c r="D70" s="1"/>
      <c r="E70" s="49"/>
      <c r="F70" s="3"/>
      <c r="G70" s="4"/>
      <c r="H70" s="17"/>
      <c r="I70" s="34">
        <v>0</v>
      </c>
      <c r="J70" s="35">
        <v>0</v>
      </c>
      <c r="K70" s="37">
        <v>0</v>
      </c>
      <c r="L70" s="37">
        <v>0</v>
      </c>
      <c r="M70" s="37">
        <v>0</v>
      </c>
      <c r="N70" s="37">
        <v>0</v>
      </c>
      <c r="O70" s="37">
        <v>0</v>
      </c>
      <c r="P70" s="5">
        <f t="shared" si="5"/>
        <v>0</v>
      </c>
      <c r="Q70" s="6"/>
      <c r="AD70" s="7"/>
    </row>
    <row r="71" spans="2:30" ht="33" customHeight="1" thickBot="1" x14ac:dyDescent="0.35">
      <c r="B71" s="108"/>
      <c r="C71" s="109"/>
      <c r="D71" s="1"/>
      <c r="E71" s="49"/>
      <c r="F71" s="3"/>
      <c r="G71" s="4"/>
      <c r="H71" s="17"/>
      <c r="I71" s="34">
        <v>0</v>
      </c>
      <c r="J71" s="35">
        <v>0</v>
      </c>
      <c r="K71" s="37">
        <v>0</v>
      </c>
      <c r="L71" s="37">
        <v>0</v>
      </c>
      <c r="M71" s="37">
        <v>0</v>
      </c>
      <c r="N71" s="37">
        <v>0</v>
      </c>
      <c r="O71" s="37">
        <v>0</v>
      </c>
      <c r="P71" s="5">
        <f t="shared" si="5"/>
        <v>0</v>
      </c>
      <c r="Q71" s="8"/>
      <c r="AD71" s="7"/>
    </row>
    <row r="72" spans="2:30" ht="30" customHeight="1" thickTop="1" x14ac:dyDescent="0.3">
      <c r="B72" s="108"/>
      <c r="C72" s="109"/>
      <c r="D72" s="1"/>
      <c r="E72" s="49"/>
      <c r="F72" s="3"/>
      <c r="G72" s="4"/>
      <c r="H72" s="17"/>
      <c r="I72" s="34">
        <v>0</v>
      </c>
      <c r="J72" s="35">
        <v>0</v>
      </c>
      <c r="K72" s="37">
        <v>0</v>
      </c>
      <c r="L72" s="37">
        <v>0</v>
      </c>
      <c r="M72" s="37">
        <v>0</v>
      </c>
      <c r="N72" s="37">
        <v>0</v>
      </c>
      <c r="O72" s="37">
        <v>0</v>
      </c>
      <c r="P72" s="5">
        <f t="shared" si="5"/>
        <v>0</v>
      </c>
      <c r="Q72" s="11"/>
      <c r="AD72" s="7"/>
    </row>
    <row r="73" spans="2:30" ht="33" customHeight="1" x14ac:dyDescent="0.3">
      <c r="B73" s="108"/>
      <c r="C73" s="109"/>
      <c r="D73" s="1"/>
      <c r="E73" s="49"/>
      <c r="F73" s="3"/>
      <c r="G73" s="4"/>
      <c r="H73" s="17"/>
      <c r="I73" s="34">
        <v>0</v>
      </c>
      <c r="J73" s="35">
        <v>0</v>
      </c>
      <c r="K73" s="37">
        <v>0</v>
      </c>
      <c r="L73" s="37">
        <v>0</v>
      </c>
      <c r="M73" s="37">
        <v>0</v>
      </c>
      <c r="N73" s="37">
        <v>0</v>
      </c>
      <c r="O73" s="37">
        <v>0</v>
      </c>
      <c r="P73" s="5">
        <f>SUM(I73:O73)</f>
        <v>0</v>
      </c>
      <c r="Q73" s="10"/>
      <c r="AD73" s="7"/>
    </row>
    <row r="74" spans="2:30" ht="35.25" customHeight="1" x14ac:dyDescent="0.3">
      <c r="B74" s="108"/>
      <c r="C74" s="109"/>
      <c r="D74" s="1"/>
      <c r="E74" s="49"/>
      <c r="F74" s="3"/>
      <c r="G74" s="4"/>
      <c r="H74" s="17"/>
      <c r="I74" s="34">
        <v>0</v>
      </c>
      <c r="J74" s="35">
        <v>0</v>
      </c>
      <c r="K74" s="37">
        <v>0</v>
      </c>
      <c r="L74" s="37">
        <v>0</v>
      </c>
      <c r="M74" s="37">
        <v>0</v>
      </c>
      <c r="N74" s="37">
        <v>0</v>
      </c>
      <c r="O74" s="37">
        <v>0</v>
      </c>
      <c r="P74" s="5"/>
      <c r="Q74" s="6"/>
      <c r="AD74" s="7"/>
    </row>
    <row r="75" spans="2:30" ht="30" customHeight="1" x14ac:dyDescent="0.3">
      <c r="B75" s="108"/>
      <c r="C75" s="109"/>
      <c r="D75" s="1"/>
      <c r="E75" s="49"/>
      <c r="F75" s="3"/>
      <c r="G75" s="4"/>
      <c r="H75" s="17"/>
      <c r="I75" s="34">
        <v>0</v>
      </c>
      <c r="J75" s="35">
        <v>0</v>
      </c>
      <c r="K75" s="37">
        <v>0</v>
      </c>
      <c r="L75" s="37">
        <v>0</v>
      </c>
      <c r="M75" s="37">
        <v>0</v>
      </c>
      <c r="N75" s="37">
        <v>0</v>
      </c>
      <c r="O75" s="37">
        <v>0</v>
      </c>
      <c r="P75" s="5">
        <f t="shared" ref="P75:P82" si="6">SUM(I75:O75)</f>
        <v>0</v>
      </c>
      <c r="Q75" s="6"/>
      <c r="AD75" s="7"/>
    </row>
    <row r="76" spans="2:30" ht="30" customHeight="1" x14ac:dyDescent="0.3">
      <c r="B76" s="108"/>
      <c r="C76" s="109"/>
      <c r="D76" s="1"/>
      <c r="E76" s="49"/>
      <c r="F76" s="3"/>
      <c r="G76" s="4"/>
      <c r="H76" s="17"/>
      <c r="I76" s="34">
        <v>0</v>
      </c>
      <c r="J76" s="35">
        <v>0</v>
      </c>
      <c r="K76" s="37">
        <v>0</v>
      </c>
      <c r="L76" s="37">
        <v>0</v>
      </c>
      <c r="M76" s="37">
        <v>0</v>
      </c>
      <c r="N76" s="37">
        <v>0</v>
      </c>
      <c r="O76" s="37">
        <v>0</v>
      </c>
      <c r="P76" s="5">
        <f t="shared" si="6"/>
        <v>0</v>
      </c>
      <c r="Q76" s="6"/>
      <c r="AD76" s="7"/>
    </row>
    <row r="77" spans="2:30" ht="30" customHeight="1" x14ac:dyDescent="0.3">
      <c r="B77" s="108"/>
      <c r="C77" s="109"/>
      <c r="D77" s="1"/>
      <c r="E77" s="49"/>
      <c r="F77" s="3"/>
      <c r="G77" s="4"/>
      <c r="H77" s="17"/>
      <c r="I77" s="34">
        <v>0</v>
      </c>
      <c r="J77" s="35">
        <v>0</v>
      </c>
      <c r="K77" s="37">
        <v>0</v>
      </c>
      <c r="L77" s="37">
        <v>0</v>
      </c>
      <c r="M77" s="37">
        <v>0</v>
      </c>
      <c r="N77" s="37">
        <v>0</v>
      </c>
      <c r="O77" s="37">
        <v>0</v>
      </c>
      <c r="P77" s="5">
        <f t="shared" si="6"/>
        <v>0</v>
      </c>
      <c r="Q77" s="6"/>
      <c r="AD77" s="7"/>
    </row>
    <row r="78" spans="2:30" ht="30" customHeight="1" x14ac:dyDescent="0.3">
      <c r="B78" s="108"/>
      <c r="C78" s="109"/>
      <c r="D78" s="1"/>
      <c r="E78" s="49"/>
      <c r="F78" s="3"/>
      <c r="G78" s="4"/>
      <c r="H78" s="17"/>
      <c r="I78" s="34">
        <v>0</v>
      </c>
      <c r="J78" s="35">
        <v>0</v>
      </c>
      <c r="K78" s="37">
        <v>0</v>
      </c>
      <c r="L78" s="37">
        <v>0</v>
      </c>
      <c r="M78" s="37">
        <v>0</v>
      </c>
      <c r="N78" s="37">
        <v>0</v>
      </c>
      <c r="O78" s="37">
        <v>0</v>
      </c>
      <c r="P78" s="5">
        <f t="shared" si="6"/>
        <v>0</v>
      </c>
      <c r="Q78" s="6"/>
      <c r="AD78" s="7"/>
    </row>
    <row r="79" spans="2:30" ht="30" customHeight="1" thickBot="1" x14ac:dyDescent="0.35">
      <c r="B79" s="108"/>
      <c r="C79" s="109"/>
      <c r="D79" s="1"/>
      <c r="E79" s="49"/>
      <c r="F79" s="3"/>
      <c r="G79" s="4"/>
      <c r="H79" s="17"/>
      <c r="I79" s="34">
        <v>0</v>
      </c>
      <c r="J79" s="35">
        <v>0</v>
      </c>
      <c r="K79" s="37">
        <v>0</v>
      </c>
      <c r="L79" s="37">
        <v>0</v>
      </c>
      <c r="M79" s="37">
        <v>0</v>
      </c>
      <c r="N79" s="37">
        <v>0</v>
      </c>
      <c r="O79" s="37">
        <v>0</v>
      </c>
      <c r="P79" s="5">
        <f t="shared" si="6"/>
        <v>0</v>
      </c>
      <c r="Q79" s="8"/>
      <c r="AD79" s="7"/>
    </row>
    <row r="80" spans="2:30" ht="30" customHeight="1" thickTop="1" thickBot="1" x14ac:dyDescent="0.35">
      <c r="B80" s="108"/>
      <c r="C80" s="109"/>
      <c r="D80" s="1"/>
      <c r="E80" s="49"/>
      <c r="F80" s="3"/>
      <c r="G80" s="4"/>
      <c r="H80" s="17"/>
      <c r="I80" s="34">
        <v>0</v>
      </c>
      <c r="J80" s="35">
        <v>0</v>
      </c>
      <c r="K80" s="37">
        <v>0</v>
      </c>
      <c r="L80" s="37">
        <v>0</v>
      </c>
      <c r="M80" s="37">
        <v>0</v>
      </c>
      <c r="N80" s="37">
        <v>0</v>
      </c>
      <c r="O80" s="37">
        <v>0</v>
      </c>
      <c r="P80" s="5">
        <f t="shared" si="6"/>
        <v>0</v>
      </c>
      <c r="Q80" s="12"/>
      <c r="AD80" s="7"/>
    </row>
    <row r="81" spans="2:30" ht="30" customHeight="1" thickTop="1" x14ac:dyDescent="0.3">
      <c r="B81" s="108"/>
      <c r="C81" s="109"/>
      <c r="D81" s="1"/>
      <c r="E81" s="49"/>
      <c r="F81" s="3"/>
      <c r="G81" s="4"/>
      <c r="H81" s="17"/>
      <c r="I81" s="34">
        <v>0</v>
      </c>
      <c r="J81" s="35">
        <v>0</v>
      </c>
      <c r="K81" s="37">
        <v>0</v>
      </c>
      <c r="L81" s="37">
        <v>0</v>
      </c>
      <c r="M81" s="37">
        <v>0</v>
      </c>
      <c r="N81" s="37">
        <v>0</v>
      </c>
      <c r="O81" s="37">
        <v>0</v>
      </c>
      <c r="P81" s="5">
        <f t="shared" si="6"/>
        <v>0</v>
      </c>
      <c r="Q81" s="6"/>
      <c r="AD81" s="7"/>
    </row>
    <row r="82" spans="2:30" ht="30" customHeight="1" x14ac:dyDescent="0.3">
      <c r="B82" s="108"/>
      <c r="C82" s="109"/>
      <c r="D82" s="1"/>
      <c r="E82" s="49"/>
      <c r="F82" s="3"/>
      <c r="G82" s="4"/>
      <c r="H82" s="17"/>
      <c r="I82" s="34">
        <v>0</v>
      </c>
      <c r="J82" s="35">
        <v>0</v>
      </c>
      <c r="K82" s="37">
        <v>0</v>
      </c>
      <c r="L82" s="37">
        <v>0</v>
      </c>
      <c r="M82" s="37">
        <v>0</v>
      </c>
      <c r="N82" s="37">
        <v>0</v>
      </c>
      <c r="O82" s="37">
        <v>0</v>
      </c>
      <c r="P82" s="5">
        <f t="shared" si="6"/>
        <v>0</v>
      </c>
      <c r="Q82" s="10"/>
      <c r="AD82" s="7"/>
    </row>
    <row r="83" spans="2:30" ht="30" customHeight="1" x14ac:dyDescent="0.3">
      <c r="B83" s="108"/>
      <c r="C83" s="109"/>
      <c r="D83" s="1"/>
      <c r="E83" s="49"/>
      <c r="F83" s="3"/>
      <c r="G83" s="4"/>
      <c r="H83" s="17"/>
      <c r="I83" s="34">
        <v>0</v>
      </c>
      <c r="J83" s="35">
        <v>0</v>
      </c>
      <c r="K83" s="37">
        <v>0</v>
      </c>
      <c r="L83" s="37">
        <v>0</v>
      </c>
      <c r="M83" s="37">
        <v>0</v>
      </c>
      <c r="N83" s="37">
        <v>0</v>
      </c>
      <c r="O83" s="37">
        <v>0</v>
      </c>
      <c r="P83" s="5">
        <f>SUM(I83:O83)</f>
        <v>0</v>
      </c>
      <c r="Q83" s="6"/>
      <c r="AD83" s="7"/>
    </row>
    <row r="84" spans="2:30" ht="30" customHeight="1" thickBot="1" x14ac:dyDescent="0.35">
      <c r="B84" s="108"/>
      <c r="C84" s="109"/>
      <c r="D84" s="1"/>
      <c r="E84" s="49"/>
      <c r="F84" s="3"/>
      <c r="G84" s="4"/>
      <c r="H84" s="17"/>
      <c r="I84" s="34">
        <v>0</v>
      </c>
      <c r="J84" s="35">
        <v>0</v>
      </c>
      <c r="K84" s="37">
        <v>0</v>
      </c>
      <c r="L84" s="37">
        <v>0</v>
      </c>
      <c r="M84" s="37">
        <v>0</v>
      </c>
      <c r="N84" s="37">
        <v>0</v>
      </c>
      <c r="O84" s="37">
        <v>0</v>
      </c>
      <c r="P84" s="5">
        <f>SUM(I84:O84)</f>
        <v>0</v>
      </c>
      <c r="Q84" s="6"/>
      <c r="AD84" s="7"/>
    </row>
    <row r="85" spans="2:30" ht="30" customHeight="1" thickTop="1" x14ac:dyDescent="0.3">
      <c r="B85" s="108"/>
      <c r="C85" s="109"/>
      <c r="D85" s="1"/>
      <c r="E85" s="49"/>
      <c r="F85" s="3"/>
      <c r="G85" s="4"/>
      <c r="H85" s="17"/>
      <c r="I85" s="34">
        <v>0</v>
      </c>
      <c r="J85" s="35">
        <v>0</v>
      </c>
      <c r="K85" s="37">
        <v>0</v>
      </c>
      <c r="L85" s="37">
        <v>0</v>
      </c>
      <c r="M85" s="37">
        <v>0</v>
      </c>
      <c r="N85" s="37">
        <v>0</v>
      </c>
      <c r="O85" s="37">
        <v>0</v>
      </c>
      <c r="P85" s="5">
        <f t="shared" ref="P85:P95" si="7">SUM(I85:O85)</f>
        <v>0</v>
      </c>
      <c r="Q85" s="11"/>
      <c r="AD85" s="7"/>
    </row>
    <row r="86" spans="2:30" ht="30" customHeight="1" x14ac:dyDescent="0.3">
      <c r="B86" s="108"/>
      <c r="C86" s="109"/>
      <c r="D86" s="1"/>
      <c r="E86" s="49"/>
      <c r="F86" s="3"/>
      <c r="G86" s="4"/>
      <c r="H86" s="17"/>
      <c r="I86" s="34">
        <v>0</v>
      </c>
      <c r="J86" s="35">
        <v>0</v>
      </c>
      <c r="K86" s="37">
        <v>0</v>
      </c>
      <c r="L86" s="37">
        <v>0</v>
      </c>
      <c r="M86" s="37">
        <v>0</v>
      </c>
      <c r="N86" s="37">
        <v>0</v>
      </c>
      <c r="O86" s="37">
        <v>0</v>
      </c>
      <c r="P86" s="5">
        <f t="shared" si="7"/>
        <v>0</v>
      </c>
      <c r="Q86" s="6"/>
      <c r="AD86" s="7"/>
    </row>
    <row r="87" spans="2:30" ht="30" customHeight="1" thickBot="1" x14ac:dyDescent="0.35">
      <c r="B87" s="108"/>
      <c r="C87" s="109"/>
      <c r="D87" s="1"/>
      <c r="E87" s="49"/>
      <c r="F87" s="3"/>
      <c r="G87" s="4"/>
      <c r="H87" s="17"/>
      <c r="I87" s="34">
        <v>0</v>
      </c>
      <c r="J87" s="35">
        <v>0</v>
      </c>
      <c r="K87" s="37">
        <v>0</v>
      </c>
      <c r="L87" s="37">
        <v>0</v>
      </c>
      <c r="M87" s="37">
        <v>0</v>
      </c>
      <c r="N87" s="37">
        <v>0</v>
      </c>
      <c r="O87" s="37">
        <v>0</v>
      </c>
      <c r="P87" s="5">
        <f t="shared" si="7"/>
        <v>0</v>
      </c>
      <c r="Q87" s="8"/>
      <c r="AD87" s="7"/>
    </row>
    <row r="88" spans="2:30" ht="30" customHeight="1" thickTop="1" x14ac:dyDescent="0.3">
      <c r="B88" s="108"/>
      <c r="C88" s="109"/>
      <c r="D88" s="1"/>
      <c r="E88" s="49"/>
      <c r="F88" s="3"/>
      <c r="G88" s="4"/>
      <c r="H88" s="17"/>
      <c r="I88" s="34">
        <v>0</v>
      </c>
      <c r="J88" s="35">
        <v>0</v>
      </c>
      <c r="K88" s="37">
        <v>0</v>
      </c>
      <c r="L88" s="37">
        <v>0</v>
      </c>
      <c r="M88" s="37">
        <v>0</v>
      </c>
      <c r="N88" s="37">
        <v>0</v>
      </c>
      <c r="O88" s="37">
        <v>0</v>
      </c>
      <c r="P88" s="5">
        <f t="shared" si="7"/>
        <v>0</v>
      </c>
      <c r="Q88" s="6"/>
      <c r="AD88" s="7"/>
    </row>
    <row r="89" spans="2:30" ht="30" customHeight="1" x14ac:dyDescent="0.3">
      <c r="B89" s="108"/>
      <c r="C89" s="109"/>
      <c r="D89" s="1"/>
      <c r="E89" s="49"/>
      <c r="F89" s="3"/>
      <c r="G89" s="4"/>
      <c r="H89" s="17"/>
      <c r="I89" s="34">
        <v>0</v>
      </c>
      <c r="J89" s="35">
        <v>0</v>
      </c>
      <c r="K89" s="37">
        <v>0</v>
      </c>
      <c r="L89" s="37">
        <v>0</v>
      </c>
      <c r="M89" s="37">
        <v>0</v>
      </c>
      <c r="N89" s="37">
        <v>0</v>
      </c>
      <c r="O89" s="37">
        <v>0</v>
      </c>
      <c r="P89" s="5">
        <f t="shared" si="7"/>
        <v>0</v>
      </c>
      <c r="Q89" s="6"/>
      <c r="AD89" s="7"/>
    </row>
    <row r="90" spans="2:30" ht="30" customHeight="1" x14ac:dyDescent="0.3">
      <c r="B90" s="108"/>
      <c r="C90" s="109"/>
      <c r="D90" s="1"/>
      <c r="E90" s="49"/>
      <c r="F90" s="3"/>
      <c r="G90" s="4"/>
      <c r="H90" s="17"/>
      <c r="I90" s="34">
        <v>0</v>
      </c>
      <c r="J90" s="35">
        <v>0</v>
      </c>
      <c r="K90" s="37">
        <v>0</v>
      </c>
      <c r="L90" s="37">
        <v>0</v>
      </c>
      <c r="M90" s="37">
        <v>0</v>
      </c>
      <c r="N90" s="37">
        <v>0</v>
      </c>
      <c r="O90" s="37">
        <v>0</v>
      </c>
      <c r="P90" s="5">
        <f t="shared" si="7"/>
        <v>0</v>
      </c>
      <c r="Q90" s="10"/>
      <c r="AD90" s="7"/>
    </row>
    <row r="91" spans="2:30" ht="30" customHeight="1" x14ac:dyDescent="0.3">
      <c r="B91" s="108"/>
      <c r="C91" s="109"/>
      <c r="D91" s="1"/>
      <c r="E91" s="49"/>
      <c r="F91" s="3"/>
      <c r="G91" s="4"/>
      <c r="H91" s="17"/>
      <c r="I91" s="34">
        <v>0</v>
      </c>
      <c r="J91" s="35">
        <v>0</v>
      </c>
      <c r="K91" s="37">
        <v>0</v>
      </c>
      <c r="L91" s="37">
        <v>0</v>
      </c>
      <c r="M91" s="37">
        <v>0</v>
      </c>
      <c r="N91" s="37">
        <v>0</v>
      </c>
      <c r="O91" s="37">
        <v>0</v>
      </c>
      <c r="P91" s="5">
        <f t="shared" si="7"/>
        <v>0</v>
      </c>
      <c r="Q91" s="10"/>
      <c r="AD91" s="7"/>
    </row>
    <row r="92" spans="2:30" ht="30" customHeight="1" x14ac:dyDescent="0.3">
      <c r="B92" s="108"/>
      <c r="C92" s="109"/>
      <c r="D92" s="1"/>
      <c r="E92" s="49"/>
      <c r="F92" s="3"/>
      <c r="G92" s="4"/>
      <c r="H92" s="17"/>
      <c r="I92" s="34">
        <v>0</v>
      </c>
      <c r="J92" s="35">
        <v>0</v>
      </c>
      <c r="K92" s="37">
        <v>0</v>
      </c>
      <c r="L92" s="37">
        <v>0</v>
      </c>
      <c r="M92" s="37">
        <v>0</v>
      </c>
      <c r="N92" s="37">
        <v>0</v>
      </c>
      <c r="O92" s="37">
        <v>0</v>
      </c>
      <c r="P92" s="5">
        <f t="shared" si="7"/>
        <v>0</v>
      </c>
      <c r="Q92" s="10"/>
      <c r="AD92" s="7"/>
    </row>
    <row r="93" spans="2:30" ht="30" customHeight="1" x14ac:dyDescent="0.3">
      <c r="B93" s="108"/>
      <c r="C93" s="109"/>
      <c r="D93" s="1"/>
      <c r="E93" s="49"/>
      <c r="F93" s="3"/>
      <c r="G93" s="4"/>
      <c r="H93" s="17"/>
      <c r="I93" s="34">
        <v>0</v>
      </c>
      <c r="J93" s="35">
        <v>0</v>
      </c>
      <c r="K93" s="37">
        <v>0</v>
      </c>
      <c r="L93" s="37">
        <v>0</v>
      </c>
      <c r="M93" s="37">
        <v>0</v>
      </c>
      <c r="N93" s="37">
        <v>0</v>
      </c>
      <c r="O93" s="37">
        <v>0</v>
      </c>
      <c r="P93" s="5">
        <f t="shared" si="7"/>
        <v>0</v>
      </c>
      <c r="Q93" s="6"/>
      <c r="AD93" s="7"/>
    </row>
    <row r="94" spans="2:30" ht="33" customHeight="1" x14ac:dyDescent="0.3">
      <c r="B94" s="108"/>
      <c r="C94" s="109"/>
      <c r="D94" s="1"/>
      <c r="E94" s="49"/>
      <c r="F94" s="3"/>
      <c r="G94" s="4"/>
      <c r="H94" s="17"/>
      <c r="I94" s="34">
        <v>0</v>
      </c>
      <c r="J94" s="35">
        <v>0</v>
      </c>
      <c r="K94" s="37">
        <v>0</v>
      </c>
      <c r="L94" s="37">
        <v>0</v>
      </c>
      <c r="M94" s="37">
        <v>0</v>
      </c>
      <c r="N94" s="37">
        <v>0</v>
      </c>
      <c r="O94" s="37">
        <v>0</v>
      </c>
      <c r="P94" s="5">
        <f t="shared" si="7"/>
        <v>0</v>
      </c>
      <c r="Q94" s="10"/>
      <c r="T94" s="13"/>
      <c r="AD94" s="7"/>
    </row>
    <row r="95" spans="2:30" ht="33" customHeight="1" x14ac:dyDescent="0.3">
      <c r="B95" s="108"/>
      <c r="C95" s="109"/>
      <c r="D95" s="1"/>
      <c r="E95" s="49"/>
      <c r="F95" s="3"/>
      <c r="G95" s="4"/>
      <c r="H95" s="17"/>
      <c r="I95" s="34">
        <v>0</v>
      </c>
      <c r="J95" s="35">
        <v>0</v>
      </c>
      <c r="K95" s="37">
        <v>0</v>
      </c>
      <c r="L95" s="37">
        <v>0</v>
      </c>
      <c r="M95" s="37">
        <v>0</v>
      </c>
      <c r="N95" s="37">
        <v>0</v>
      </c>
      <c r="O95" s="37">
        <v>0</v>
      </c>
      <c r="P95" s="5">
        <f t="shared" si="7"/>
        <v>0</v>
      </c>
      <c r="Q95" s="6"/>
      <c r="AD95" s="7"/>
    </row>
    <row r="96" spans="2:30" ht="33" customHeight="1" x14ac:dyDescent="0.3">
      <c r="B96" s="108"/>
      <c r="C96" s="109"/>
      <c r="D96" s="1"/>
      <c r="E96" s="49"/>
      <c r="F96" s="3"/>
      <c r="G96" s="4"/>
      <c r="H96" s="17"/>
      <c r="I96" s="34">
        <v>0</v>
      </c>
      <c r="J96" s="35">
        <v>0</v>
      </c>
      <c r="K96" s="37">
        <v>0</v>
      </c>
      <c r="L96" s="37">
        <v>0</v>
      </c>
      <c r="M96" s="37">
        <v>0</v>
      </c>
      <c r="N96" s="37">
        <v>0</v>
      </c>
      <c r="O96" s="37">
        <v>0</v>
      </c>
      <c r="P96" s="5">
        <f>SUM(I96:O96)</f>
        <v>0</v>
      </c>
      <c r="Q96" s="10"/>
      <c r="T96" s="13"/>
      <c r="AD96" s="7"/>
    </row>
    <row r="97" spans="2:30" ht="33" customHeight="1" x14ac:dyDescent="0.3">
      <c r="B97" s="108"/>
      <c r="C97" s="109"/>
      <c r="D97" s="1"/>
      <c r="E97" s="49"/>
      <c r="F97" s="3"/>
      <c r="G97" s="4"/>
      <c r="H97" s="17"/>
      <c r="I97" s="34">
        <v>0</v>
      </c>
      <c r="J97" s="35">
        <v>0</v>
      </c>
      <c r="K97" s="37">
        <v>0</v>
      </c>
      <c r="L97" s="37">
        <v>0</v>
      </c>
      <c r="M97" s="37">
        <v>0</v>
      </c>
      <c r="N97" s="37">
        <v>0</v>
      </c>
      <c r="O97" s="37">
        <v>0</v>
      </c>
      <c r="P97" s="5">
        <f t="shared" ref="P97:P100" si="8">SUM(I97:O97)</f>
        <v>0</v>
      </c>
      <c r="Q97" s="10"/>
      <c r="AD97" s="7"/>
    </row>
    <row r="98" spans="2:30" ht="30" customHeight="1" x14ac:dyDescent="0.3">
      <c r="B98" s="108"/>
      <c r="C98" s="109"/>
      <c r="D98" s="1"/>
      <c r="E98" s="49"/>
      <c r="F98" s="3"/>
      <c r="G98" s="4"/>
      <c r="H98" s="17"/>
      <c r="I98" s="34">
        <v>0</v>
      </c>
      <c r="J98" s="35">
        <v>0</v>
      </c>
      <c r="K98" s="37">
        <v>0</v>
      </c>
      <c r="L98" s="37">
        <v>0</v>
      </c>
      <c r="M98" s="37">
        <v>0</v>
      </c>
      <c r="N98" s="37">
        <v>0</v>
      </c>
      <c r="O98" s="37">
        <v>0</v>
      </c>
      <c r="P98" s="5">
        <f t="shared" si="8"/>
        <v>0</v>
      </c>
      <c r="Q98" s="6"/>
      <c r="AD98" s="7"/>
    </row>
    <row r="99" spans="2:30" ht="33" customHeight="1" x14ac:dyDescent="0.3">
      <c r="B99" s="108"/>
      <c r="C99" s="109"/>
      <c r="D99" s="1"/>
      <c r="E99" s="49"/>
      <c r="F99" s="3"/>
      <c r="G99" s="4"/>
      <c r="H99" s="17"/>
      <c r="I99" s="34">
        <v>0</v>
      </c>
      <c r="J99" s="35">
        <v>0</v>
      </c>
      <c r="K99" s="37">
        <v>0</v>
      </c>
      <c r="L99" s="37">
        <v>0</v>
      </c>
      <c r="M99" s="37">
        <v>0</v>
      </c>
      <c r="N99" s="37">
        <v>0</v>
      </c>
      <c r="O99" s="37">
        <v>0</v>
      </c>
      <c r="P99" s="5">
        <f t="shared" si="8"/>
        <v>0</v>
      </c>
      <c r="Q99" s="10"/>
      <c r="AD99" s="7"/>
    </row>
    <row r="100" spans="2:30" ht="30" customHeight="1" x14ac:dyDescent="0.3">
      <c r="B100" s="108"/>
      <c r="C100" s="109"/>
      <c r="D100" s="1"/>
      <c r="E100" s="49"/>
      <c r="F100" s="3"/>
      <c r="G100" s="4"/>
      <c r="H100" s="17"/>
      <c r="I100" s="34">
        <v>0</v>
      </c>
      <c r="J100" s="35">
        <v>0</v>
      </c>
      <c r="K100" s="37">
        <v>0</v>
      </c>
      <c r="L100" s="37">
        <v>0</v>
      </c>
      <c r="M100" s="37">
        <v>0</v>
      </c>
      <c r="N100" s="37">
        <v>0</v>
      </c>
      <c r="O100" s="37">
        <v>0</v>
      </c>
      <c r="P100" s="5">
        <f t="shared" si="8"/>
        <v>0</v>
      </c>
      <c r="Q100" s="10"/>
      <c r="AD100" s="7"/>
    </row>
    <row r="101" spans="2:30" ht="33" customHeight="1" x14ac:dyDescent="0.3">
      <c r="B101" s="108"/>
      <c r="C101" s="109"/>
      <c r="D101" s="1"/>
      <c r="E101" s="49"/>
      <c r="F101" s="3"/>
      <c r="G101" s="4"/>
      <c r="H101" s="17"/>
      <c r="I101" s="34">
        <v>0</v>
      </c>
      <c r="J101" s="35">
        <v>0</v>
      </c>
      <c r="K101" s="37">
        <v>0</v>
      </c>
      <c r="L101" s="37">
        <v>0</v>
      </c>
      <c r="M101" s="37">
        <v>0</v>
      </c>
      <c r="N101" s="37">
        <v>0</v>
      </c>
      <c r="O101" s="37">
        <v>0</v>
      </c>
      <c r="P101" s="5">
        <f>SUM(I101:O101)</f>
        <v>0</v>
      </c>
      <c r="Q101" s="10"/>
      <c r="T101" s="13"/>
      <c r="AD101" s="7"/>
    </row>
    <row r="102" spans="2:30" ht="30" customHeight="1" x14ac:dyDescent="0.3">
      <c r="B102" s="108"/>
      <c r="C102" s="109"/>
      <c r="D102" s="1"/>
      <c r="E102" s="49"/>
      <c r="F102" s="3"/>
      <c r="G102" s="4"/>
      <c r="H102" s="17"/>
      <c r="I102" s="34">
        <v>0</v>
      </c>
      <c r="J102" s="35">
        <v>0</v>
      </c>
      <c r="K102" s="37">
        <v>0</v>
      </c>
      <c r="L102" s="37">
        <v>0</v>
      </c>
      <c r="M102" s="37">
        <v>0</v>
      </c>
      <c r="N102" s="37">
        <v>0</v>
      </c>
      <c r="O102" s="37">
        <v>0</v>
      </c>
      <c r="P102" s="5">
        <f t="shared" ref="P102:P105" si="9">SUM(I102:O102)</f>
        <v>0</v>
      </c>
      <c r="Q102" s="10"/>
      <c r="AD102" s="7"/>
    </row>
    <row r="103" spans="2:30" ht="30" customHeight="1" x14ac:dyDescent="0.3">
      <c r="B103" s="108"/>
      <c r="C103" s="109"/>
      <c r="D103" s="1"/>
      <c r="E103" s="49"/>
      <c r="F103" s="3"/>
      <c r="G103" s="4"/>
      <c r="H103" s="17"/>
      <c r="I103" s="34">
        <v>0</v>
      </c>
      <c r="J103" s="35">
        <v>0</v>
      </c>
      <c r="K103" s="37">
        <v>0</v>
      </c>
      <c r="L103" s="37">
        <v>0</v>
      </c>
      <c r="M103" s="37">
        <v>0</v>
      </c>
      <c r="N103" s="37">
        <v>0</v>
      </c>
      <c r="O103" s="37">
        <v>0</v>
      </c>
      <c r="P103" s="5">
        <f t="shared" si="9"/>
        <v>0</v>
      </c>
      <c r="Q103" s="10"/>
      <c r="AD103" s="7"/>
    </row>
    <row r="104" spans="2:30" ht="30" customHeight="1" x14ac:dyDescent="0.3">
      <c r="B104" s="108"/>
      <c r="C104" s="109"/>
      <c r="D104" s="1"/>
      <c r="E104" s="49"/>
      <c r="F104" s="3"/>
      <c r="G104" s="4"/>
      <c r="H104" s="17"/>
      <c r="I104" s="34">
        <v>0</v>
      </c>
      <c r="J104" s="35">
        <v>0</v>
      </c>
      <c r="K104" s="37">
        <v>0</v>
      </c>
      <c r="L104" s="37">
        <v>0</v>
      </c>
      <c r="M104" s="37">
        <v>0</v>
      </c>
      <c r="N104" s="37">
        <v>0</v>
      </c>
      <c r="O104" s="37">
        <v>0</v>
      </c>
      <c r="P104" s="5">
        <f t="shared" si="9"/>
        <v>0</v>
      </c>
      <c r="Q104" s="6"/>
      <c r="AD104" s="7"/>
    </row>
    <row r="105" spans="2:30" ht="30" customHeight="1" x14ac:dyDescent="0.3">
      <c r="B105" s="108"/>
      <c r="C105" s="109"/>
      <c r="D105" s="1"/>
      <c r="E105" s="49"/>
      <c r="F105" s="3"/>
      <c r="G105" s="4"/>
      <c r="H105" s="17"/>
      <c r="I105" s="34">
        <v>0</v>
      </c>
      <c r="J105" s="35">
        <v>0</v>
      </c>
      <c r="K105" s="37">
        <v>0</v>
      </c>
      <c r="L105" s="37">
        <v>0</v>
      </c>
      <c r="M105" s="37">
        <v>0</v>
      </c>
      <c r="N105" s="37">
        <v>0</v>
      </c>
      <c r="O105" s="37">
        <v>0</v>
      </c>
      <c r="P105" s="5">
        <f t="shared" si="9"/>
        <v>0</v>
      </c>
      <c r="Q105" s="6"/>
      <c r="AD105" s="7"/>
    </row>
    <row r="106" spans="2:30" ht="30" customHeight="1" x14ac:dyDescent="0.3">
      <c r="B106" s="108"/>
      <c r="C106" s="109"/>
      <c r="D106" s="1"/>
      <c r="E106" s="49"/>
      <c r="F106" s="3"/>
      <c r="G106" s="4"/>
      <c r="H106" s="17"/>
      <c r="I106" s="34">
        <v>0</v>
      </c>
      <c r="J106" s="35">
        <v>0</v>
      </c>
      <c r="K106" s="37">
        <v>0</v>
      </c>
      <c r="L106" s="37">
        <v>0</v>
      </c>
      <c r="M106" s="37">
        <v>0</v>
      </c>
      <c r="N106" s="37">
        <v>0</v>
      </c>
      <c r="O106" s="37">
        <v>0</v>
      </c>
      <c r="P106" s="5">
        <f>SUM(I106:O106)</f>
        <v>0</v>
      </c>
      <c r="Q106" s="6"/>
      <c r="AD106" s="7"/>
    </row>
    <row r="107" spans="2:30" ht="30" customHeight="1" thickBot="1" x14ac:dyDescent="0.35">
      <c r="B107" s="108"/>
      <c r="C107" s="109"/>
      <c r="D107" s="1"/>
      <c r="E107" s="49"/>
      <c r="F107" s="3"/>
      <c r="G107" s="4"/>
      <c r="H107" s="17"/>
      <c r="I107" s="34">
        <v>0</v>
      </c>
      <c r="J107" s="35">
        <v>0</v>
      </c>
      <c r="K107" s="37">
        <v>0</v>
      </c>
      <c r="L107" s="37">
        <v>0</v>
      </c>
      <c r="M107" s="37">
        <v>0</v>
      </c>
      <c r="N107" s="37">
        <v>0</v>
      </c>
      <c r="O107" s="37">
        <v>0</v>
      </c>
      <c r="P107" s="5">
        <f>SUM(I107:O107)</f>
        <v>0</v>
      </c>
      <c r="Q107" s="9"/>
      <c r="AD107" s="7"/>
    </row>
    <row r="108" spans="2:30" ht="33" customHeight="1" thickTop="1" x14ac:dyDescent="0.3">
      <c r="B108" s="108"/>
      <c r="C108" s="109"/>
      <c r="D108" s="1"/>
      <c r="E108" s="49"/>
      <c r="F108" s="3"/>
      <c r="G108" s="4"/>
      <c r="H108" s="17"/>
      <c r="I108" s="34">
        <v>0</v>
      </c>
      <c r="J108" s="35">
        <v>0</v>
      </c>
      <c r="K108" s="37">
        <v>0</v>
      </c>
      <c r="L108" s="37">
        <v>0</v>
      </c>
      <c r="M108" s="37">
        <v>0</v>
      </c>
      <c r="N108" s="37">
        <v>0</v>
      </c>
      <c r="O108" s="37">
        <v>0</v>
      </c>
      <c r="P108" s="5">
        <f>SUM(I108:O108)</f>
        <v>0</v>
      </c>
      <c r="Q108" s="10"/>
      <c r="AD108" s="7"/>
    </row>
    <row r="109" spans="2:30" ht="30" customHeight="1" thickBot="1" x14ac:dyDescent="0.35">
      <c r="B109" s="108"/>
      <c r="C109" s="109"/>
      <c r="D109" s="1"/>
      <c r="E109" s="49"/>
      <c r="F109" s="3"/>
      <c r="G109" s="4"/>
      <c r="H109" s="17"/>
      <c r="I109" s="34">
        <v>0</v>
      </c>
      <c r="J109" s="35">
        <v>0</v>
      </c>
      <c r="K109" s="37">
        <v>0</v>
      </c>
      <c r="L109" s="37">
        <v>0</v>
      </c>
      <c r="M109" s="37">
        <v>0</v>
      </c>
      <c r="N109" s="37">
        <v>0</v>
      </c>
      <c r="O109" s="37">
        <v>0</v>
      </c>
      <c r="P109" s="5">
        <f t="shared" ref="P109:P113" si="10">SUM(I109:O109)</f>
        <v>0</v>
      </c>
      <c r="Q109" s="9"/>
      <c r="AD109" s="7"/>
    </row>
    <row r="110" spans="2:30" ht="30" customHeight="1" thickTop="1" thickBot="1" x14ac:dyDescent="0.35">
      <c r="B110" s="108"/>
      <c r="C110" s="109"/>
      <c r="D110" s="1"/>
      <c r="E110" s="49"/>
      <c r="F110" s="3"/>
      <c r="G110" s="4"/>
      <c r="H110" s="17"/>
      <c r="I110" s="34">
        <v>0</v>
      </c>
      <c r="J110" s="35">
        <v>0</v>
      </c>
      <c r="K110" s="37">
        <v>0</v>
      </c>
      <c r="L110" s="37">
        <v>0</v>
      </c>
      <c r="M110" s="37">
        <v>0</v>
      </c>
      <c r="N110" s="37">
        <v>0</v>
      </c>
      <c r="O110" s="37">
        <v>0</v>
      </c>
      <c r="P110" s="5">
        <f t="shared" si="10"/>
        <v>0</v>
      </c>
      <c r="Q110" s="9"/>
      <c r="AD110" s="7"/>
    </row>
    <row r="111" spans="2:30" ht="33" customHeight="1" thickTop="1" x14ac:dyDescent="0.3">
      <c r="B111" s="108"/>
      <c r="C111" s="109"/>
      <c r="D111" s="1"/>
      <c r="E111" s="49"/>
      <c r="F111" s="3"/>
      <c r="G111" s="4"/>
      <c r="H111" s="17"/>
      <c r="I111" s="34">
        <v>0</v>
      </c>
      <c r="J111" s="35">
        <v>0</v>
      </c>
      <c r="K111" s="37">
        <v>0</v>
      </c>
      <c r="L111" s="37">
        <v>0</v>
      </c>
      <c r="M111" s="37">
        <v>0</v>
      </c>
      <c r="N111" s="37">
        <v>0</v>
      </c>
      <c r="O111" s="37">
        <v>0</v>
      </c>
      <c r="P111" s="5">
        <f t="shared" si="10"/>
        <v>0</v>
      </c>
      <c r="Q111" s="10"/>
      <c r="AD111" s="7"/>
    </row>
    <row r="112" spans="2:30" ht="33" customHeight="1" thickBot="1" x14ac:dyDescent="0.35">
      <c r="B112" s="108"/>
      <c r="C112" s="109"/>
      <c r="D112" s="1"/>
      <c r="E112" s="49"/>
      <c r="F112" s="3"/>
      <c r="G112" s="4"/>
      <c r="H112" s="17"/>
      <c r="I112" s="34">
        <v>0</v>
      </c>
      <c r="J112" s="35">
        <v>0</v>
      </c>
      <c r="K112" s="37">
        <v>0</v>
      </c>
      <c r="L112" s="37">
        <v>0</v>
      </c>
      <c r="M112" s="37">
        <v>0</v>
      </c>
      <c r="N112" s="37">
        <v>0</v>
      </c>
      <c r="O112" s="37">
        <v>0</v>
      </c>
      <c r="P112" s="5">
        <f t="shared" si="10"/>
        <v>0</v>
      </c>
      <c r="Q112" s="8"/>
      <c r="AD112" s="7"/>
    </row>
    <row r="113" spans="2:30" ht="30" customHeight="1" thickTop="1" x14ac:dyDescent="0.3">
      <c r="B113" s="108"/>
      <c r="C113" s="109"/>
      <c r="D113" s="1"/>
      <c r="E113" s="49"/>
      <c r="F113" s="3"/>
      <c r="G113" s="4"/>
      <c r="H113" s="17"/>
      <c r="I113" s="34">
        <v>0</v>
      </c>
      <c r="J113" s="35">
        <v>0</v>
      </c>
      <c r="K113" s="37">
        <v>0</v>
      </c>
      <c r="L113" s="37">
        <v>0</v>
      </c>
      <c r="M113" s="37">
        <v>0</v>
      </c>
      <c r="N113" s="37">
        <v>0</v>
      </c>
      <c r="O113" s="37">
        <v>0</v>
      </c>
      <c r="P113" s="5">
        <f t="shared" si="10"/>
        <v>0</v>
      </c>
      <c r="Q113" s="10"/>
      <c r="AD113" s="7"/>
    </row>
    <row r="114" spans="2:30" ht="33" customHeight="1" x14ac:dyDescent="0.3">
      <c r="B114" s="108"/>
      <c r="C114" s="109"/>
      <c r="D114" s="1"/>
      <c r="E114" s="49"/>
      <c r="F114" s="3"/>
      <c r="G114" s="4"/>
      <c r="H114" s="17"/>
      <c r="I114" s="34">
        <v>0</v>
      </c>
      <c r="J114" s="35">
        <v>0</v>
      </c>
      <c r="K114" s="37">
        <v>0</v>
      </c>
      <c r="L114" s="37">
        <v>0</v>
      </c>
      <c r="M114" s="37">
        <v>0</v>
      </c>
      <c r="N114" s="37">
        <v>0</v>
      </c>
      <c r="O114" s="37">
        <v>0</v>
      </c>
      <c r="P114" s="5"/>
      <c r="Q114" s="10"/>
      <c r="AD114" s="7"/>
    </row>
    <row r="115" spans="2:30" ht="33" customHeight="1" x14ac:dyDescent="0.3">
      <c r="B115" s="108"/>
      <c r="C115" s="109"/>
      <c r="D115" s="1"/>
      <c r="E115" s="49"/>
      <c r="F115" s="3"/>
      <c r="G115" s="4"/>
      <c r="H115" s="17"/>
      <c r="I115" s="34">
        <v>0</v>
      </c>
      <c r="J115" s="35">
        <v>0</v>
      </c>
      <c r="K115" s="37">
        <v>0</v>
      </c>
      <c r="L115" s="37">
        <v>0</v>
      </c>
      <c r="M115" s="37">
        <v>0</v>
      </c>
      <c r="N115" s="37">
        <v>0</v>
      </c>
      <c r="O115" s="37">
        <v>0</v>
      </c>
      <c r="P115" s="5">
        <f t="shared" ref="P115:P128" si="11">SUM(I115:O115)</f>
        <v>0</v>
      </c>
      <c r="Q115" s="6"/>
      <c r="AD115" s="7"/>
    </row>
    <row r="116" spans="2:30" ht="33" customHeight="1" x14ac:dyDescent="0.3">
      <c r="B116" s="108"/>
      <c r="C116" s="109"/>
      <c r="D116" s="1"/>
      <c r="E116" s="49"/>
      <c r="F116" s="3"/>
      <c r="G116" s="4"/>
      <c r="H116" s="17"/>
      <c r="I116" s="34">
        <v>0</v>
      </c>
      <c r="J116" s="35">
        <v>0</v>
      </c>
      <c r="K116" s="37">
        <v>0</v>
      </c>
      <c r="L116" s="37">
        <v>0</v>
      </c>
      <c r="M116" s="37">
        <v>0</v>
      </c>
      <c r="N116" s="37">
        <v>0</v>
      </c>
      <c r="O116" s="37">
        <v>0</v>
      </c>
      <c r="P116" s="5">
        <f t="shared" si="11"/>
        <v>0</v>
      </c>
      <c r="Q116" s="6"/>
      <c r="AD116" s="7"/>
    </row>
    <row r="117" spans="2:30" ht="33" customHeight="1" thickBot="1" x14ac:dyDescent="0.35">
      <c r="B117" s="108"/>
      <c r="C117" s="109"/>
      <c r="D117" s="1"/>
      <c r="E117" s="49"/>
      <c r="F117" s="3"/>
      <c r="G117" s="4"/>
      <c r="H117" s="17"/>
      <c r="I117" s="34">
        <v>0</v>
      </c>
      <c r="J117" s="35">
        <v>0</v>
      </c>
      <c r="K117" s="37">
        <v>0</v>
      </c>
      <c r="L117" s="37">
        <v>0</v>
      </c>
      <c r="M117" s="37">
        <v>0</v>
      </c>
      <c r="N117" s="37">
        <v>0</v>
      </c>
      <c r="O117" s="37">
        <v>0</v>
      </c>
      <c r="P117" s="5">
        <f t="shared" si="11"/>
        <v>0</v>
      </c>
      <c r="Q117" s="8"/>
      <c r="AD117" s="7"/>
    </row>
    <row r="118" spans="2:30" ht="30" customHeight="1" thickTop="1" x14ac:dyDescent="0.3">
      <c r="B118" s="108"/>
      <c r="C118" s="109"/>
      <c r="D118" s="1"/>
      <c r="E118" s="49"/>
      <c r="F118" s="3"/>
      <c r="G118" s="4"/>
      <c r="H118" s="17"/>
      <c r="I118" s="34">
        <v>0</v>
      </c>
      <c r="J118" s="35">
        <v>0</v>
      </c>
      <c r="K118" s="37">
        <v>0</v>
      </c>
      <c r="L118" s="37">
        <v>0</v>
      </c>
      <c r="M118" s="37">
        <v>0</v>
      </c>
      <c r="N118" s="37">
        <v>0</v>
      </c>
      <c r="O118" s="37">
        <v>0</v>
      </c>
      <c r="P118" s="5">
        <f t="shared" si="11"/>
        <v>0</v>
      </c>
      <c r="Q118" s="11"/>
      <c r="AD118" s="7"/>
    </row>
    <row r="119" spans="2:30" ht="30" customHeight="1" x14ac:dyDescent="0.3">
      <c r="B119" s="108"/>
      <c r="C119" s="109"/>
      <c r="D119" s="1"/>
      <c r="E119" s="49"/>
      <c r="F119" s="3"/>
      <c r="G119" s="4"/>
      <c r="H119" s="17"/>
      <c r="I119" s="34">
        <v>0</v>
      </c>
      <c r="J119" s="35">
        <v>0</v>
      </c>
      <c r="K119" s="37">
        <v>0</v>
      </c>
      <c r="L119" s="37">
        <v>0</v>
      </c>
      <c r="M119" s="37">
        <v>0</v>
      </c>
      <c r="N119" s="37">
        <v>0</v>
      </c>
      <c r="O119" s="37">
        <v>0</v>
      </c>
      <c r="P119" s="5">
        <f t="shared" si="11"/>
        <v>0</v>
      </c>
      <c r="Q119" s="6"/>
      <c r="AD119" s="7"/>
    </row>
    <row r="120" spans="2:30" ht="30" customHeight="1" thickBot="1" x14ac:dyDescent="0.35">
      <c r="B120" s="108"/>
      <c r="C120" s="109"/>
      <c r="D120" s="1"/>
      <c r="E120" s="49"/>
      <c r="F120" s="3"/>
      <c r="G120" s="4"/>
      <c r="H120" s="17"/>
      <c r="I120" s="34">
        <v>0</v>
      </c>
      <c r="J120" s="35">
        <v>0</v>
      </c>
      <c r="K120" s="37">
        <v>0</v>
      </c>
      <c r="L120" s="37">
        <v>0</v>
      </c>
      <c r="M120" s="37">
        <v>0</v>
      </c>
      <c r="N120" s="37">
        <v>0</v>
      </c>
      <c r="O120" s="37">
        <v>0</v>
      </c>
      <c r="P120" s="5">
        <f t="shared" si="11"/>
        <v>0</v>
      </c>
      <c r="Q120" s="8"/>
      <c r="AD120" s="7"/>
    </row>
    <row r="121" spans="2:30" ht="30" customHeight="1" thickTop="1" x14ac:dyDescent="0.3">
      <c r="B121" s="108"/>
      <c r="C121" s="109"/>
      <c r="D121" s="1"/>
      <c r="E121" s="49"/>
      <c r="F121" s="3"/>
      <c r="G121" s="4"/>
      <c r="H121" s="17"/>
      <c r="I121" s="34">
        <v>0</v>
      </c>
      <c r="J121" s="35">
        <v>0</v>
      </c>
      <c r="K121" s="37">
        <v>0</v>
      </c>
      <c r="L121" s="37">
        <v>0</v>
      </c>
      <c r="M121" s="37">
        <v>0</v>
      </c>
      <c r="N121" s="37">
        <v>0</v>
      </c>
      <c r="O121" s="37">
        <v>0</v>
      </c>
      <c r="P121" s="5">
        <f t="shared" si="11"/>
        <v>0</v>
      </c>
      <c r="Q121" s="6"/>
      <c r="AD121" s="7"/>
    </row>
    <row r="122" spans="2:30" ht="30" customHeight="1" x14ac:dyDescent="0.3">
      <c r="B122" s="108"/>
      <c r="C122" s="109"/>
      <c r="D122" s="1"/>
      <c r="E122" s="49"/>
      <c r="F122" s="3"/>
      <c r="G122" s="4"/>
      <c r="H122" s="17"/>
      <c r="I122" s="34">
        <v>0</v>
      </c>
      <c r="J122" s="35">
        <v>0</v>
      </c>
      <c r="K122" s="37">
        <v>0</v>
      </c>
      <c r="L122" s="37">
        <v>0</v>
      </c>
      <c r="M122" s="37">
        <v>0</v>
      </c>
      <c r="N122" s="37">
        <v>0</v>
      </c>
      <c r="O122" s="37">
        <v>0</v>
      </c>
      <c r="P122" s="5">
        <f t="shared" si="11"/>
        <v>0</v>
      </c>
      <c r="Q122" s="6"/>
      <c r="AD122" s="7"/>
    </row>
    <row r="123" spans="2:30" ht="30" customHeight="1" x14ac:dyDescent="0.3">
      <c r="B123" s="108"/>
      <c r="C123" s="109"/>
      <c r="D123" s="1"/>
      <c r="E123" s="49"/>
      <c r="F123" s="3"/>
      <c r="G123" s="4"/>
      <c r="H123" s="17"/>
      <c r="I123" s="34">
        <v>0</v>
      </c>
      <c r="J123" s="35">
        <v>0</v>
      </c>
      <c r="K123" s="37">
        <v>0</v>
      </c>
      <c r="L123" s="37">
        <v>0</v>
      </c>
      <c r="M123" s="37">
        <v>0</v>
      </c>
      <c r="N123" s="37">
        <v>0</v>
      </c>
      <c r="O123" s="37">
        <v>0</v>
      </c>
      <c r="P123" s="5">
        <f t="shared" si="11"/>
        <v>0</v>
      </c>
      <c r="Q123" s="10"/>
      <c r="AD123" s="7"/>
    </row>
    <row r="124" spans="2:30" ht="30" customHeight="1" x14ac:dyDescent="0.3">
      <c r="B124" s="108"/>
      <c r="C124" s="109"/>
      <c r="D124" s="1"/>
      <c r="E124" s="49"/>
      <c r="F124" s="3"/>
      <c r="G124" s="4"/>
      <c r="H124" s="17"/>
      <c r="I124" s="34">
        <v>0</v>
      </c>
      <c r="J124" s="35">
        <v>0</v>
      </c>
      <c r="K124" s="37">
        <v>0</v>
      </c>
      <c r="L124" s="37">
        <v>0</v>
      </c>
      <c r="M124" s="37">
        <v>0</v>
      </c>
      <c r="N124" s="37">
        <v>0</v>
      </c>
      <c r="O124" s="37">
        <v>0</v>
      </c>
      <c r="P124" s="5">
        <f t="shared" si="11"/>
        <v>0</v>
      </c>
      <c r="Q124" s="10"/>
      <c r="AD124" s="7"/>
    </row>
    <row r="125" spans="2:30" ht="30" customHeight="1" x14ac:dyDescent="0.3">
      <c r="B125" s="108"/>
      <c r="C125" s="109"/>
      <c r="D125" s="1"/>
      <c r="E125" s="49"/>
      <c r="F125" s="3"/>
      <c r="G125" s="4"/>
      <c r="H125" s="17"/>
      <c r="I125" s="34">
        <v>0</v>
      </c>
      <c r="J125" s="35">
        <v>0</v>
      </c>
      <c r="K125" s="37">
        <v>0</v>
      </c>
      <c r="L125" s="37">
        <v>0</v>
      </c>
      <c r="M125" s="37">
        <v>0</v>
      </c>
      <c r="N125" s="37">
        <v>0</v>
      </c>
      <c r="O125" s="37">
        <v>0</v>
      </c>
      <c r="P125" s="5">
        <f t="shared" si="11"/>
        <v>0</v>
      </c>
      <c r="Q125" s="10"/>
      <c r="AD125" s="7"/>
    </row>
    <row r="126" spans="2:30" ht="30" customHeight="1" x14ac:dyDescent="0.3">
      <c r="B126" s="108"/>
      <c r="C126" s="109"/>
      <c r="D126" s="1"/>
      <c r="E126" s="49"/>
      <c r="F126" s="3"/>
      <c r="G126" s="4"/>
      <c r="H126" s="17"/>
      <c r="I126" s="34">
        <v>0</v>
      </c>
      <c r="J126" s="35">
        <v>0</v>
      </c>
      <c r="K126" s="37">
        <v>0</v>
      </c>
      <c r="L126" s="37">
        <v>0</v>
      </c>
      <c r="M126" s="37">
        <v>0</v>
      </c>
      <c r="N126" s="37">
        <v>0</v>
      </c>
      <c r="O126" s="37">
        <v>0</v>
      </c>
      <c r="P126" s="5">
        <f t="shared" si="11"/>
        <v>0</v>
      </c>
      <c r="Q126" s="10"/>
      <c r="AD126" s="7"/>
    </row>
    <row r="127" spans="2:30" ht="30" customHeight="1" x14ac:dyDescent="0.3">
      <c r="B127" s="108"/>
      <c r="C127" s="109"/>
      <c r="D127" s="1"/>
      <c r="E127" s="49"/>
      <c r="F127" s="3"/>
      <c r="G127" s="4"/>
      <c r="H127" s="17"/>
      <c r="I127" s="34">
        <v>0</v>
      </c>
      <c r="J127" s="35">
        <v>0</v>
      </c>
      <c r="K127" s="37">
        <v>0</v>
      </c>
      <c r="L127" s="37">
        <v>0</v>
      </c>
      <c r="M127" s="37">
        <v>0</v>
      </c>
      <c r="N127" s="37">
        <v>0</v>
      </c>
      <c r="O127" s="37">
        <v>0</v>
      </c>
      <c r="P127" s="5">
        <f t="shared" si="11"/>
        <v>0</v>
      </c>
      <c r="Q127" s="6"/>
      <c r="AD127" s="7"/>
    </row>
    <row r="128" spans="2:30" ht="33" customHeight="1" x14ac:dyDescent="0.3">
      <c r="B128" s="108"/>
      <c r="C128" s="109"/>
      <c r="D128" s="1"/>
      <c r="E128" s="49"/>
      <c r="F128" s="3"/>
      <c r="G128" s="4"/>
      <c r="H128" s="17"/>
      <c r="I128" s="34">
        <v>0</v>
      </c>
      <c r="J128" s="35">
        <v>0</v>
      </c>
      <c r="K128" s="37">
        <v>0</v>
      </c>
      <c r="L128" s="37">
        <v>0</v>
      </c>
      <c r="M128" s="37">
        <v>0</v>
      </c>
      <c r="N128" s="37">
        <v>0</v>
      </c>
      <c r="O128" s="37">
        <v>0</v>
      </c>
      <c r="P128" s="5">
        <f t="shared" si="11"/>
        <v>0</v>
      </c>
      <c r="Q128" s="10"/>
      <c r="T128" s="13"/>
      <c r="AD128" s="7"/>
    </row>
    <row r="129" spans="2:32" ht="33" customHeight="1" thickBot="1" x14ac:dyDescent="0.35">
      <c r="B129" s="108"/>
      <c r="C129" s="109"/>
      <c r="D129" s="1"/>
      <c r="E129" s="49"/>
      <c r="F129" s="3"/>
      <c r="G129" s="4"/>
      <c r="H129" s="17"/>
      <c r="I129" s="34">
        <v>0</v>
      </c>
      <c r="J129" s="35">
        <v>0</v>
      </c>
      <c r="K129" s="37">
        <v>0</v>
      </c>
      <c r="L129" s="37">
        <v>0</v>
      </c>
      <c r="M129" s="37">
        <v>0</v>
      </c>
      <c r="N129" s="37">
        <v>0</v>
      </c>
      <c r="O129" s="37">
        <v>0</v>
      </c>
      <c r="P129" s="5">
        <v>0</v>
      </c>
      <c r="Q129" s="6"/>
      <c r="AD129" s="7"/>
    </row>
    <row r="130" spans="2:32" ht="30" customHeight="1" thickBot="1" x14ac:dyDescent="0.35">
      <c r="B130" s="108"/>
      <c r="C130" s="109"/>
      <c r="D130" s="14"/>
      <c r="E130" s="53"/>
      <c r="F130" s="16"/>
      <c r="G130" s="28"/>
      <c r="H130" s="17"/>
      <c r="I130" s="54">
        <f t="shared" ref="I130:P130" si="12">SUM(I6:I129)</f>
        <v>0</v>
      </c>
      <c r="J130" s="15">
        <f t="shared" si="12"/>
        <v>0</v>
      </c>
      <c r="K130" s="103">
        <f t="shared" si="12"/>
        <v>0</v>
      </c>
      <c r="L130" s="15">
        <f t="shared" si="12"/>
        <v>0</v>
      </c>
      <c r="M130" s="15">
        <f t="shared" si="12"/>
        <v>0</v>
      </c>
      <c r="N130" s="15">
        <f t="shared" si="12"/>
        <v>0</v>
      </c>
      <c r="O130" s="15">
        <f t="shared" si="12"/>
        <v>0</v>
      </c>
      <c r="P130" s="61">
        <f t="shared" si="12"/>
        <v>0</v>
      </c>
      <c r="Q130" s="15">
        <f t="shared" ref="Q130:AE130" si="13">SUM(Q96:Q117)</f>
        <v>0</v>
      </c>
      <c r="R130" s="15">
        <f t="shared" si="13"/>
        <v>0</v>
      </c>
      <c r="S130" s="15">
        <f t="shared" si="13"/>
        <v>0</v>
      </c>
      <c r="T130" s="15">
        <f t="shared" si="13"/>
        <v>0</v>
      </c>
      <c r="U130" s="15">
        <f t="shared" si="13"/>
        <v>0</v>
      </c>
      <c r="V130" s="15">
        <f t="shared" si="13"/>
        <v>0</v>
      </c>
      <c r="W130" s="15">
        <f t="shared" si="13"/>
        <v>0</v>
      </c>
      <c r="X130" s="15">
        <f t="shared" si="13"/>
        <v>0</v>
      </c>
      <c r="Y130" s="15">
        <f t="shared" si="13"/>
        <v>0</v>
      </c>
      <c r="Z130" s="15">
        <f t="shared" si="13"/>
        <v>0</v>
      </c>
      <c r="AA130" s="15">
        <f t="shared" si="13"/>
        <v>0</v>
      </c>
      <c r="AB130" s="15">
        <f t="shared" si="13"/>
        <v>0</v>
      </c>
      <c r="AC130" s="15">
        <f t="shared" si="13"/>
        <v>0</v>
      </c>
      <c r="AD130" s="15">
        <f t="shared" si="13"/>
        <v>0</v>
      </c>
      <c r="AE130" s="31">
        <f t="shared" si="13"/>
        <v>0</v>
      </c>
      <c r="AF130" s="32"/>
    </row>
  </sheetData>
  <dataConsolidate/>
  <mergeCells count="126">
    <mergeCell ref="B4:C5"/>
    <mergeCell ref="B6:C6"/>
    <mergeCell ref="B7:C7"/>
    <mergeCell ref="B8:C8"/>
    <mergeCell ref="B9:C9"/>
    <mergeCell ref="B15:C15"/>
    <mergeCell ref="B16:C16"/>
    <mergeCell ref="B17:C17"/>
    <mergeCell ref="B18:C18"/>
    <mergeCell ref="B19:C19"/>
    <mergeCell ref="B10:C10"/>
    <mergeCell ref="B11:C11"/>
    <mergeCell ref="B12:C12"/>
    <mergeCell ref="B13:C13"/>
    <mergeCell ref="B14:C14"/>
    <mergeCell ref="B25:C25"/>
    <mergeCell ref="B26:C26"/>
    <mergeCell ref="B27:C27"/>
    <mergeCell ref="B28:C28"/>
    <mergeCell ref="B29:C29"/>
    <mergeCell ref="B20:C20"/>
    <mergeCell ref="B21:C21"/>
    <mergeCell ref="B22:C22"/>
    <mergeCell ref="B23:C23"/>
    <mergeCell ref="B24:C24"/>
    <mergeCell ref="B35:C35"/>
    <mergeCell ref="B36:C36"/>
    <mergeCell ref="B37:C37"/>
    <mergeCell ref="B38:C38"/>
    <mergeCell ref="B39:C39"/>
    <mergeCell ref="B30:C30"/>
    <mergeCell ref="B31:C31"/>
    <mergeCell ref="B32:C32"/>
    <mergeCell ref="B33:C33"/>
    <mergeCell ref="B34:C34"/>
    <mergeCell ref="B45:C45"/>
    <mergeCell ref="B46:C46"/>
    <mergeCell ref="B47:C47"/>
    <mergeCell ref="B48:C48"/>
    <mergeCell ref="B49:C49"/>
    <mergeCell ref="B40:C40"/>
    <mergeCell ref="B41:C41"/>
    <mergeCell ref="B42:C42"/>
    <mergeCell ref="B43:C43"/>
    <mergeCell ref="B44:C44"/>
    <mergeCell ref="B55:C55"/>
    <mergeCell ref="B56:C56"/>
    <mergeCell ref="B57:C57"/>
    <mergeCell ref="B58:C58"/>
    <mergeCell ref="B59:C59"/>
    <mergeCell ref="B50:C50"/>
    <mergeCell ref="B51:C51"/>
    <mergeCell ref="B52:C52"/>
    <mergeCell ref="B53:C53"/>
    <mergeCell ref="B54:C54"/>
    <mergeCell ref="B65:C65"/>
    <mergeCell ref="B66:C66"/>
    <mergeCell ref="B67:C67"/>
    <mergeCell ref="B68:C68"/>
    <mergeCell ref="B69:C69"/>
    <mergeCell ref="B60:C60"/>
    <mergeCell ref="B61:C61"/>
    <mergeCell ref="B62:C62"/>
    <mergeCell ref="B63:C63"/>
    <mergeCell ref="B64:C64"/>
    <mergeCell ref="B75:C75"/>
    <mergeCell ref="B76:C76"/>
    <mergeCell ref="B77:C77"/>
    <mergeCell ref="B78:C78"/>
    <mergeCell ref="B79:C79"/>
    <mergeCell ref="B70:C70"/>
    <mergeCell ref="B71:C71"/>
    <mergeCell ref="B72:C72"/>
    <mergeCell ref="B73:C73"/>
    <mergeCell ref="B74:C74"/>
    <mergeCell ref="B85:C85"/>
    <mergeCell ref="B86:C86"/>
    <mergeCell ref="B87:C87"/>
    <mergeCell ref="B88:C88"/>
    <mergeCell ref="B89:C89"/>
    <mergeCell ref="B80:C80"/>
    <mergeCell ref="B81:C81"/>
    <mergeCell ref="B82:C82"/>
    <mergeCell ref="B83:C83"/>
    <mergeCell ref="B84:C84"/>
    <mergeCell ref="B95:C95"/>
    <mergeCell ref="B96:C96"/>
    <mergeCell ref="B97:C97"/>
    <mergeCell ref="B98:C98"/>
    <mergeCell ref="B99:C99"/>
    <mergeCell ref="B90:C90"/>
    <mergeCell ref="B91:C91"/>
    <mergeCell ref="B92:C92"/>
    <mergeCell ref="B93:C93"/>
    <mergeCell ref="B94:C94"/>
    <mergeCell ref="B105:C105"/>
    <mergeCell ref="B106:C106"/>
    <mergeCell ref="B107:C107"/>
    <mergeCell ref="B108:C108"/>
    <mergeCell ref="B109:C109"/>
    <mergeCell ref="B100:C100"/>
    <mergeCell ref="B101:C101"/>
    <mergeCell ref="B102:C102"/>
    <mergeCell ref="B103:C103"/>
    <mergeCell ref="B104:C104"/>
    <mergeCell ref="B115:C115"/>
    <mergeCell ref="B116:C116"/>
    <mergeCell ref="B117:C117"/>
    <mergeCell ref="B118:C118"/>
    <mergeCell ref="B119:C119"/>
    <mergeCell ref="B110:C110"/>
    <mergeCell ref="B111:C111"/>
    <mergeCell ref="B112:C112"/>
    <mergeCell ref="B113:C113"/>
    <mergeCell ref="B114:C114"/>
    <mergeCell ref="B130:C130"/>
    <mergeCell ref="B125:C125"/>
    <mergeCell ref="B126:C126"/>
    <mergeCell ref="B127:C127"/>
    <mergeCell ref="B128:C128"/>
    <mergeCell ref="B129:C129"/>
    <mergeCell ref="B120:C120"/>
    <mergeCell ref="B121:C121"/>
    <mergeCell ref="B122:C122"/>
    <mergeCell ref="B123:C123"/>
    <mergeCell ref="B124:C124"/>
  </mergeCells>
  <phoneticPr fontId="16"/>
  <conditionalFormatting sqref="Q37 H42:H43 K23:O23 H51 P44:Q44 P41:Q42 P51:Q51 H74 H53 Q39 P33:Q35 K21:Q21 P22:Q23 L10:O10 P17:Q20 K19:O20 P26:Q27 P53:Q53 Q28 P6:Q14 P46:Q46 H45:H47 K55:Q55 Q57 K64:O65 K93:O93 Q93 K45:Q45 K47:Q47 K74:Q74 K43:Q43 P7:P129 I7:J129">
    <cfRule type="cellIs" dxfId="249" priority="231" operator="equal">
      <formula>0</formula>
    </cfRule>
  </conditionalFormatting>
  <conditionalFormatting sqref="T1:T5">
    <cfRule type="duplicateValues" dxfId="248" priority="230"/>
  </conditionalFormatting>
  <conditionalFormatting sqref="H49 Q32 Q49">
    <cfRule type="cellIs" dxfId="247" priority="229" operator="equal">
      <formula>0</formula>
    </cfRule>
  </conditionalFormatting>
  <conditionalFormatting sqref="Q38">
    <cfRule type="cellIs" dxfId="246" priority="228" operator="equal">
      <formula>0</formula>
    </cfRule>
  </conditionalFormatting>
  <conditionalFormatting sqref="K57:N58">
    <cfRule type="cellIs" dxfId="245" priority="227" operator="equal">
      <formula>0</formula>
    </cfRule>
  </conditionalFormatting>
  <conditionalFormatting sqref="Q57 K57:N58">
    <cfRule type="cellIs" dxfId="244" priority="226" operator="equal">
      <formula>0</formula>
    </cfRule>
  </conditionalFormatting>
  <conditionalFormatting sqref="Q59">
    <cfRule type="cellIs" dxfId="243" priority="225" operator="equal">
      <formula>0</formula>
    </cfRule>
  </conditionalFormatting>
  <conditionalFormatting sqref="O57:O58">
    <cfRule type="cellIs" dxfId="242" priority="224" operator="equal">
      <formula>0</formula>
    </cfRule>
  </conditionalFormatting>
  <conditionalFormatting sqref="O57:O58">
    <cfRule type="cellIs" dxfId="241" priority="223" operator="equal">
      <formula>0</formula>
    </cfRule>
  </conditionalFormatting>
  <conditionalFormatting sqref="Q58">
    <cfRule type="cellIs" dxfId="240" priority="222" operator="equal">
      <formula>0</formula>
    </cfRule>
  </conditionalFormatting>
  <conditionalFormatting sqref="Q31">
    <cfRule type="cellIs" dxfId="239" priority="221" operator="equal">
      <formula>0</formula>
    </cfRule>
  </conditionalFormatting>
  <conditionalFormatting sqref="Q30">
    <cfRule type="cellIs" dxfId="238" priority="220" operator="equal">
      <formula>0</formula>
    </cfRule>
  </conditionalFormatting>
  <conditionalFormatting sqref="Q36">
    <cfRule type="cellIs" dxfId="237" priority="219" operator="equal">
      <formula>0</formula>
    </cfRule>
  </conditionalFormatting>
  <conditionalFormatting sqref="Q29">
    <cfRule type="cellIs" dxfId="236" priority="215" operator="equal">
      <formula>0</formula>
    </cfRule>
  </conditionalFormatting>
  <conditionalFormatting sqref="H48 Q48 K48:O48">
    <cfRule type="cellIs" dxfId="235" priority="217" operator="equal">
      <formula>0</formula>
    </cfRule>
  </conditionalFormatting>
  <conditionalFormatting sqref="T48">
    <cfRule type="duplicateValues" dxfId="234" priority="218"/>
  </conditionalFormatting>
  <conditionalFormatting sqref="T29">
    <cfRule type="duplicateValues" dxfId="233" priority="216"/>
  </conditionalFormatting>
  <conditionalFormatting sqref="K50:N51">
    <cfRule type="cellIs" dxfId="232" priority="213" operator="equal">
      <formula>0</formula>
    </cfRule>
  </conditionalFormatting>
  <conditionalFormatting sqref="Q50">
    <cfRule type="cellIs" dxfId="231" priority="214" operator="equal">
      <formula>0</formula>
    </cfRule>
  </conditionalFormatting>
  <conditionalFormatting sqref="O50:O51">
    <cfRule type="cellIs" dxfId="230" priority="212" operator="equal">
      <formula>0</formula>
    </cfRule>
  </conditionalFormatting>
  <conditionalFormatting sqref="T35 T6:T13 T27 T20:T22 T17:T18">
    <cfRule type="duplicateValues" dxfId="229" priority="232"/>
  </conditionalFormatting>
  <conditionalFormatting sqref="T50">
    <cfRule type="duplicateValues" dxfId="228" priority="211"/>
  </conditionalFormatting>
  <conditionalFormatting sqref="H28">
    <cfRule type="cellIs" dxfId="227" priority="210" operator="equal">
      <formula>0</formula>
    </cfRule>
  </conditionalFormatting>
  <conditionalFormatting sqref="P50">
    <cfRule type="cellIs" dxfId="226" priority="209" operator="equal">
      <formula>0</formula>
    </cfRule>
  </conditionalFormatting>
  <conditionalFormatting sqref="K56 P56:Q56">
    <cfRule type="cellIs" dxfId="225" priority="207" operator="equal">
      <formula>0</formula>
    </cfRule>
  </conditionalFormatting>
  <conditionalFormatting sqref="T56">
    <cfRule type="duplicateValues" dxfId="224" priority="208"/>
  </conditionalFormatting>
  <conditionalFormatting sqref="K22:M22">
    <cfRule type="cellIs" dxfId="223" priority="204" operator="equal">
      <formula>0</formula>
    </cfRule>
  </conditionalFormatting>
  <conditionalFormatting sqref="T51 T42:T43 T47">
    <cfRule type="duplicateValues" dxfId="222" priority="233"/>
  </conditionalFormatting>
  <conditionalFormatting sqref="O22">
    <cfRule type="cellIs" dxfId="221" priority="206" operator="equal">
      <formula>0</formula>
    </cfRule>
  </conditionalFormatting>
  <conditionalFormatting sqref="K22:M22">
    <cfRule type="cellIs" dxfId="220" priority="205" operator="equal">
      <formula>0</formula>
    </cfRule>
  </conditionalFormatting>
  <conditionalFormatting sqref="K10">
    <cfRule type="cellIs" dxfId="219" priority="203" operator="equal">
      <formula>0</formula>
    </cfRule>
  </conditionalFormatting>
  <conditionalFormatting sqref="K10">
    <cfRule type="cellIs" dxfId="218" priority="202" operator="equal">
      <formula>0</formula>
    </cfRule>
  </conditionalFormatting>
  <conditionalFormatting sqref="P40">
    <cfRule type="cellIs" dxfId="217" priority="200" operator="equal">
      <formula>0</formula>
    </cfRule>
  </conditionalFormatting>
  <conditionalFormatting sqref="Q40">
    <cfRule type="cellIs" dxfId="216" priority="199" operator="equal">
      <formula>0</formula>
    </cfRule>
  </conditionalFormatting>
  <conditionalFormatting sqref="T40">
    <cfRule type="duplicateValues" dxfId="215" priority="201"/>
  </conditionalFormatting>
  <conditionalFormatting sqref="H25 P25:Q25">
    <cfRule type="cellIs" dxfId="214" priority="197" operator="equal">
      <formula>0</formula>
    </cfRule>
  </conditionalFormatting>
  <conditionalFormatting sqref="H25 Q25">
    <cfRule type="cellIs" dxfId="213" priority="195" operator="equal">
      <formula>0</formula>
    </cfRule>
  </conditionalFormatting>
  <conditionalFormatting sqref="H24 Q24">
    <cfRule type="cellIs" dxfId="212" priority="194" operator="equal">
      <formula>0</formula>
    </cfRule>
  </conditionalFormatting>
  <conditionalFormatting sqref="T24">
    <cfRule type="duplicateValues" dxfId="211" priority="196"/>
  </conditionalFormatting>
  <conditionalFormatting sqref="T25">
    <cfRule type="duplicateValues" dxfId="210" priority="198"/>
  </conditionalFormatting>
  <conditionalFormatting sqref="K52:Q52 K53:O53">
    <cfRule type="cellIs" dxfId="209" priority="192" operator="equal">
      <formula>0</formula>
    </cfRule>
  </conditionalFormatting>
  <conditionalFormatting sqref="T52">
    <cfRule type="duplicateValues" dxfId="208" priority="193"/>
  </conditionalFormatting>
  <conditionalFormatting sqref="P65 P66:Q68 P61:Q63 H61:H63">
    <cfRule type="cellIs" dxfId="207" priority="191" operator="equal">
      <formula>0</formula>
    </cfRule>
  </conditionalFormatting>
  <conditionalFormatting sqref="Q60">
    <cfRule type="cellIs" dxfId="206" priority="190" operator="equal">
      <formula>0</formula>
    </cfRule>
  </conditionalFormatting>
  <conditionalFormatting sqref="P64">
    <cfRule type="cellIs" dxfId="205" priority="184" operator="equal">
      <formula>0</formula>
    </cfRule>
  </conditionalFormatting>
  <conditionalFormatting sqref="Q64">
    <cfRule type="cellIs" dxfId="204" priority="189" operator="equal">
      <formula>0</formula>
    </cfRule>
  </conditionalFormatting>
  <conditionalFormatting sqref="H65 Q65">
    <cfRule type="cellIs" dxfId="203" priority="187" operator="equal">
      <formula>0</formula>
    </cfRule>
  </conditionalFormatting>
  <conditionalFormatting sqref="H65 Q65">
    <cfRule type="cellIs" dxfId="202" priority="186" operator="equal">
      <formula>0</formula>
    </cfRule>
  </conditionalFormatting>
  <conditionalFormatting sqref="T65">
    <cfRule type="duplicateValues" dxfId="201" priority="188"/>
  </conditionalFormatting>
  <conditionalFormatting sqref="T64">
    <cfRule type="duplicateValues" dxfId="200" priority="185"/>
  </conditionalFormatting>
  <conditionalFormatting sqref="K60:O62">
    <cfRule type="cellIs" dxfId="199" priority="183" operator="equal">
      <formula>0</formula>
    </cfRule>
  </conditionalFormatting>
  <conditionalFormatting sqref="T74">
    <cfRule type="duplicateValues" dxfId="198" priority="234"/>
  </conditionalFormatting>
  <conditionalFormatting sqref="K18:N18">
    <cfRule type="cellIs" dxfId="197" priority="181" operator="equal">
      <formula>0</formula>
    </cfRule>
  </conditionalFormatting>
  <conditionalFormatting sqref="K18:N18">
    <cfRule type="cellIs" dxfId="196" priority="182" operator="equal">
      <formula>0</formula>
    </cfRule>
  </conditionalFormatting>
  <conditionalFormatting sqref="O18">
    <cfRule type="cellIs" dxfId="195" priority="180" operator="equal">
      <formula>0</formula>
    </cfRule>
  </conditionalFormatting>
  <conditionalFormatting sqref="K40:O40">
    <cfRule type="cellIs" dxfId="194" priority="179" operator="equal">
      <formula>0</formula>
    </cfRule>
  </conditionalFormatting>
  <conditionalFormatting sqref="K49:O49">
    <cfRule type="cellIs" dxfId="193" priority="178" operator="equal">
      <formula>0</formula>
    </cfRule>
  </conditionalFormatting>
  <conditionalFormatting sqref="L56">
    <cfRule type="cellIs" dxfId="192" priority="177" operator="equal">
      <formula>0</formula>
    </cfRule>
  </conditionalFormatting>
  <conditionalFormatting sqref="M56:O56">
    <cfRule type="cellIs" dxfId="191" priority="176" operator="equal">
      <formula>0</formula>
    </cfRule>
  </conditionalFormatting>
  <conditionalFormatting sqref="N22">
    <cfRule type="cellIs" dxfId="190" priority="175" operator="equal">
      <formula>0</formula>
    </cfRule>
  </conditionalFormatting>
  <conditionalFormatting sqref="K14:O14">
    <cfRule type="cellIs" dxfId="189" priority="174" operator="equal">
      <formula>0</formula>
    </cfRule>
  </conditionalFormatting>
  <conditionalFormatting sqref="K24:O24">
    <cfRule type="cellIs" dxfId="188" priority="173" operator="equal">
      <formula>0</formula>
    </cfRule>
  </conditionalFormatting>
  <conditionalFormatting sqref="K24:O24">
    <cfRule type="cellIs" dxfId="187" priority="172" operator="equal">
      <formula>0</formula>
    </cfRule>
  </conditionalFormatting>
  <conditionalFormatting sqref="K41:O42">
    <cfRule type="cellIs" dxfId="186" priority="171" operator="equal">
      <formula>0</formula>
    </cfRule>
  </conditionalFormatting>
  <conditionalFormatting sqref="Q71">
    <cfRule type="cellIs" dxfId="185" priority="167" operator="equal">
      <formula>0</formula>
    </cfRule>
  </conditionalFormatting>
  <conditionalFormatting sqref="H71 K71:N71">
    <cfRule type="cellIs" dxfId="184" priority="166" operator="equal">
      <formula>0</formula>
    </cfRule>
  </conditionalFormatting>
  <conditionalFormatting sqref="O71">
    <cfRule type="cellIs" dxfId="183" priority="165" operator="equal">
      <formula>0</formula>
    </cfRule>
  </conditionalFormatting>
  <conditionalFormatting sqref="Q69:Q71 H69:H71 K69:O71">
    <cfRule type="cellIs" dxfId="182" priority="168" operator="equal">
      <formula>0</formula>
    </cfRule>
  </conditionalFormatting>
  <conditionalFormatting sqref="P69:P71">
    <cfRule type="cellIs" dxfId="181" priority="170" operator="equal">
      <formula>0</formula>
    </cfRule>
  </conditionalFormatting>
  <conditionalFormatting sqref="T69:T71">
    <cfRule type="duplicateValues" dxfId="180" priority="169"/>
  </conditionalFormatting>
  <conditionalFormatting sqref="K72:Q72">
    <cfRule type="cellIs" dxfId="179" priority="163" operator="equal">
      <formula>0</formula>
    </cfRule>
  </conditionalFormatting>
  <conditionalFormatting sqref="T72">
    <cfRule type="duplicateValues" dxfId="178" priority="164"/>
  </conditionalFormatting>
  <conditionalFormatting sqref="O89:O90">
    <cfRule type="cellIs" dxfId="177" priority="154" operator="equal">
      <formula>0</formula>
    </cfRule>
  </conditionalFormatting>
  <conditionalFormatting sqref="O90">
    <cfRule type="cellIs" dxfId="176" priority="153" operator="equal">
      <formula>0</formula>
    </cfRule>
  </conditionalFormatting>
  <conditionalFormatting sqref="O92">
    <cfRule type="cellIs" dxfId="175" priority="152" operator="equal">
      <formula>0</formula>
    </cfRule>
  </conditionalFormatting>
  <conditionalFormatting sqref="K91:N91 Q91">
    <cfRule type="cellIs" dxfId="174" priority="151" operator="equal">
      <formula>0</formula>
    </cfRule>
  </conditionalFormatting>
  <conditionalFormatting sqref="K11">
    <cfRule type="cellIs" dxfId="173" priority="135" operator="equal">
      <formula>0</formula>
    </cfRule>
  </conditionalFormatting>
  <conditionalFormatting sqref="K11">
    <cfRule type="cellIs" dxfId="172" priority="134" operator="equal">
      <formula>0</formula>
    </cfRule>
  </conditionalFormatting>
  <conditionalFormatting sqref="L11:O11">
    <cfRule type="cellIs" dxfId="171" priority="133" operator="equal">
      <formula>0</formula>
    </cfRule>
  </conditionalFormatting>
  <conditionalFormatting sqref="K9">
    <cfRule type="cellIs" dxfId="170" priority="129" operator="equal">
      <formula>0</formula>
    </cfRule>
  </conditionalFormatting>
  <conditionalFormatting sqref="K9">
    <cfRule type="cellIs" dxfId="169" priority="128" operator="equal">
      <formula>0</formula>
    </cfRule>
  </conditionalFormatting>
  <conditionalFormatting sqref="L9:O9">
    <cfRule type="cellIs" dxfId="168" priority="127" operator="equal">
      <formula>0</formula>
    </cfRule>
  </conditionalFormatting>
  <conditionalFormatting sqref="K13 K15">
    <cfRule type="cellIs" dxfId="167" priority="132" operator="equal">
      <formula>0</formula>
    </cfRule>
  </conditionalFormatting>
  <conditionalFormatting sqref="K13 K15">
    <cfRule type="cellIs" dxfId="166" priority="131" operator="equal">
      <formula>0</formula>
    </cfRule>
  </conditionalFormatting>
  <conditionalFormatting sqref="L13:O13 L15:O15">
    <cfRule type="cellIs" dxfId="165" priority="130" operator="equal">
      <formula>0</formula>
    </cfRule>
  </conditionalFormatting>
  <conditionalFormatting sqref="H73 K73:Q73">
    <cfRule type="cellIs" dxfId="164" priority="161" operator="equal">
      <formula>0</formula>
    </cfRule>
  </conditionalFormatting>
  <conditionalFormatting sqref="T73">
    <cfRule type="duplicateValues" dxfId="163" priority="162"/>
  </conditionalFormatting>
  <conditionalFormatting sqref="H94:H95 Q87 K94:Q95">
    <cfRule type="cellIs" dxfId="162" priority="160" operator="equal">
      <formula>0</formula>
    </cfRule>
  </conditionalFormatting>
  <conditionalFormatting sqref="K87:O87">
    <cfRule type="cellIs" dxfId="161" priority="159" operator="equal">
      <formula>0</formula>
    </cfRule>
  </conditionalFormatting>
  <conditionalFormatting sqref="Q89:Q90">
    <cfRule type="cellIs" dxfId="160" priority="158" operator="equal">
      <formula>0</formula>
    </cfRule>
  </conditionalFormatting>
  <conditionalFormatting sqref="K89:N90">
    <cfRule type="cellIs" dxfId="159" priority="157" operator="equal">
      <formula>0</formula>
    </cfRule>
  </conditionalFormatting>
  <conditionalFormatting sqref="K90:N90 Q90">
    <cfRule type="cellIs" dxfId="158" priority="156" operator="equal">
      <formula>0</formula>
    </cfRule>
  </conditionalFormatting>
  <conditionalFormatting sqref="K92:N92 Q92">
    <cfRule type="cellIs" dxfId="157" priority="155" operator="equal">
      <formula>0</formula>
    </cfRule>
  </conditionalFormatting>
  <conditionalFormatting sqref="O91">
    <cfRule type="cellIs" dxfId="156" priority="150" operator="equal">
      <formula>0</formula>
    </cfRule>
  </conditionalFormatting>
  <conditionalFormatting sqref="H94 Q94 K94:O94">
    <cfRule type="cellIs" dxfId="155" priority="148" operator="equal">
      <formula>0</formula>
    </cfRule>
  </conditionalFormatting>
  <conditionalFormatting sqref="T94:T95">
    <cfRule type="duplicateValues" dxfId="154" priority="149"/>
  </conditionalFormatting>
  <conditionalFormatting sqref="P87">
    <cfRule type="cellIs" dxfId="153" priority="147" operator="equal">
      <formula>0</formula>
    </cfRule>
  </conditionalFormatting>
  <conditionalFormatting sqref="K88:Q88">
    <cfRule type="cellIs" dxfId="152" priority="145" operator="equal">
      <formula>0</formula>
    </cfRule>
  </conditionalFormatting>
  <conditionalFormatting sqref="T88">
    <cfRule type="duplicateValues" dxfId="151" priority="146"/>
  </conditionalFormatting>
  <conditionalFormatting sqref="K85:Q86">
    <cfRule type="cellIs" dxfId="150" priority="143" operator="equal">
      <formula>0</formula>
    </cfRule>
  </conditionalFormatting>
  <conditionalFormatting sqref="T85:T86">
    <cfRule type="duplicateValues" dxfId="149" priority="144"/>
  </conditionalFormatting>
  <conditionalFormatting sqref="K59:N59">
    <cfRule type="cellIs" dxfId="148" priority="142" operator="equal">
      <formula>0</formula>
    </cfRule>
  </conditionalFormatting>
  <conditionalFormatting sqref="K59:N59">
    <cfRule type="cellIs" dxfId="147" priority="141" operator="equal">
      <formula>0</formula>
    </cfRule>
  </conditionalFormatting>
  <conditionalFormatting sqref="O59">
    <cfRule type="cellIs" dxfId="146" priority="140" operator="equal">
      <formula>0</formula>
    </cfRule>
  </conditionalFormatting>
  <conditionalFormatting sqref="O59">
    <cfRule type="cellIs" dxfId="145" priority="139" operator="equal">
      <formula>0</formula>
    </cfRule>
  </conditionalFormatting>
  <conditionalFormatting sqref="K12">
    <cfRule type="cellIs" dxfId="144" priority="138" operator="equal">
      <formula>0</formula>
    </cfRule>
  </conditionalFormatting>
  <conditionalFormatting sqref="K12">
    <cfRule type="cellIs" dxfId="143" priority="137" operator="equal">
      <formula>0</formula>
    </cfRule>
  </conditionalFormatting>
  <conditionalFormatting sqref="L12:O12">
    <cfRule type="cellIs" dxfId="142" priority="136" operator="equal">
      <formula>0</formula>
    </cfRule>
  </conditionalFormatting>
  <conditionalFormatting sqref="I6:O6">
    <cfRule type="cellIs" dxfId="141" priority="118" operator="equal">
      <formula>0</formula>
    </cfRule>
  </conditionalFormatting>
  <conditionalFormatting sqref="K7:K129">
    <cfRule type="cellIs" dxfId="140" priority="126" operator="equal">
      <formula>0</formula>
    </cfRule>
  </conditionalFormatting>
  <conditionalFormatting sqref="K7:K129">
    <cfRule type="cellIs" dxfId="139" priority="125" operator="equal">
      <formula>0</formula>
    </cfRule>
  </conditionalFormatting>
  <conditionalFormatting sqref="L7:O129">
    <cfRule type="cellIs" dxfId="138" priority="124" operator="equal">
      <formula>0</formula>
    </cfRule>
  </conditionalFormatting>
  <conditionalFormatting sqref="K8">
    <cfRule type="cellIs" dxfId="137" priority="123" operator="equal">
      <formula>0</formula>
    </cfRule>
  </conditionalFormatting>
  <conditionalFormatting sqref="K8">
    <cfRule type="cellIs" dxfId="136" priority="122" operator="equal">
      <formula>0</formula>
    </cfRule>
  </conditionalFormatting>
  <conditionalFormatting sqref="L8:O8">
    <cfRule type="cellIs" dxfId="135" priority="121" operator="equal">
      <formula>0</formula>
    </cfRule>
  </conditionalFormatting>
  <conditionalFormatting sqref="K39:O39">
    <cfRule type="cellIs" dxfId="134" priority="119" operator="equal">
      <formula>0</formula>
    </cfRule>
  </conditionalFormatting>
  <conditionalFormatting sqref="K32:O38">
    <cfRule type="cellIs" dxfId="133" priority="120" operator="equal">
      <formula>0</formula>
    </cfRule>
  </conditionalFormatting>
  <conditionalFormatting sqref="K25:O25">
    <cfRule type="cellIs" dxfId="132" priority="117" operator="equal">
      <formula>0</formula>
    </cfRule>
  </conditionalFormatting>
  <conditionalFormatting sqref="P54:Q54">
    <cfRule type="cellIs" dxfId="131" priority="115" operator="equal">
      <formula>0</formula>
    </cfRule>
  </conditionalFormatting>
  <conditionalFormatting sqref="K54:O54">
    <cfRule type="cellIs" dxfId="130" priority="114" operator="equal">
      <formula>0</formula>
    </cfRule>
  </conditionalFormatting>
  <conditionalFormatting sqref="T54">
    <cfRule type="duplicateValues" dxfId="129" priority="116"/>
  </conditionalFormatting>
  <conditionalFormatting sqref="O76 P75:Q76">
    <cfRule type="cellIs" dxfId="128" priority="112" operator="equal">
      <formula>0</formula>
    </cfRule>
  </conditionalFormatting>
  <conditionalFormatting sqref="T75:T76">
    <cfRule type="duplicateValues" dxfId="127" priority="113"/>
  </conditionalFormatting>
  <conditionalFormatting sqref="K76:N76">
    <cfRule type="cellIs" dxfId="126" priority="111" operator="equal">
      <formula>0</formula>
    </cfRule>
  </conditionalFormatting>
  <conditionalFormatting sqref="K76:N76">
    <cfRule type="cellIs" dxfId="125" priority="110" operator="equal">
      <formula>0</formula>
    </cfRule>
  </conditionalFormatting>
  <conditionalFormatting sqref="K75:N75">
    <cfRule type="cellIs" dxfId="124" priority="107" operator="equal">
      <formula>0</formula>
    </cfRule>
  </conditionalFormatting>
  <conditionalFormatting sqref="O75">
    <cfRule type="cellIs" dxfId="123" priority="109" operator="equal">
      <formula>0</formula>
    </cfRule>
  </conditionalFormatting>
  <conditionalFormatting sqref="K75:N75">
    <cfRule type="cellIs" dxfId="122" priority="108" operator="equal">
      <formula>0</formula>
    </cfRule>
  </conditionalFormatting>
  <conditionalFormatting sqref="H15:H16 P15:Q15 K16:Q16">
    <cfRule type="cellIs" dxfId="121" priority="104" operator="equal">
      <formula>0</formula>
    </cfRule>
  </conditionalFormatting>
  <conditionalFormatting sqref="T16">
    <cfRule type="duplicateValues" dxfId="120" priority="105"/>
  </conditionalFormatting>
  <conditionalFormatting sqref="T15">
    <cfRule type="duplicateValues" dxfId="119" priority="106"/>
  </conditionalFormatting>
  <conditionalFormatting sqref="P77:Q77">
    <cfRule type="cellIs" dxfId="118" priority="102" operator="equal">
      <formula>0</formula>
    </cfRule>
  </conditionalFormatting>
  <conditionalFormatting sqref="T77">
    <cfRule type="duplicateValues" dxfId="117" priority="103"/>
  </conditionalFormatting>
  <conditionalFormatting sqref="K77">
    <cfRule type="cellIs" dxfId="116" priority="101" operator="equal">
      <formula>0</formula>
    </cfRule>
  </conditionalFormatting>
  <conditionalFormatting sqref="K77">
    <cfRule type="cellIs" dxfId="115" priority="100" operator="equal">
      <formula>0</formula>
    </cfRule>
  </conditionalFormatting>
  <conditionalFormatting sqref="L77:O77">
    <cfRule type="cellIs" dxfId="114" priority="99" operator="equal">
      <formula>0</formula>
    </cfRule>
  </conditionalFormatting>
  <conditionalFormatting sqref="P78:Q78">
    <cfRule type="cellIs" dxfId="113" priority="97" operator="equal">
      <formula>0</formula>
    </cfRule>
  </conditionalFormatting>
  <conditionalFormatting sqref="T78">
    <cfRule type="duplicateValues" dxfId="112" priority="98"/>
  </conditionalFormatting>
  <conditionalFormatting sqref="K78">
    <cfRule type="cellIs" dxfId="111" priority="96" operator="equal">
      <formula>0</formula>
    </cfRule>
  </conditionalFormatting>
  <conditionalFormatting sqref="K78">
    <cfRule type="cellIs" dxfId="110" priority="95" operator="equal">
      <formula>0</formula>
    </cfRule>
  </conditionalFormatting>
  <conditionalFormatting sqref="L78:O78">
    <cfRule type="cellIs" dxfId="109" priority="94" operator="equal">
      <formula>0</formula>
    </cfRule>
  </conditionalFormatting>
  <conditionalFormatting sqref="K26:O26">
    <cfRule type="cellIs" dxfId="108" priority="93" operator="equal">
      <formula>0</formula>
    </cfRule>
  </conditionalFormatting>
  <conditionalFormatting sqref="K27:O27">
    <cfRule type="cellIs" dxfId="107" priority="92" operator="equal">
      <formula>0</formula>
    </cfRule>
  </conditionalFormatting>
  <conditionalFormatting sqref="Q79">
    <cfRule type="cellIs" dxfId="106" priority="90" operator="equal">
      <formula>0</formula>
    </cfRule>
  </conditionalFormatting>
  <conditionalFormatting sqref="K79:L79">
    <cfRule type="cellIs" dxfId="105" priority="89" operator="equal">
      <formula>0</formula>
    </cfRule>
  </conditionalFormatting>
  <conditionalFormatting sqref="P79">
    <cfRule type="cellIs" dxfId="104" priority="88" operator="equal">
      <formula>0</formula>
    </cfRule>
  </conditionalFormatting>
  <conditionalFormatting sqref="M79:O79">
    <cfRule type="cellIs" dxfId="103" priority="87" operator="equal">
      <formula>0</formula>
    </cfRule>
  </conditionalFormatting>
  <conditionalFormatting sqref="T79">
    <cfRule type="duplicateValues" dxfId="102" priority="91"/>
  </conditionalFormatting>
  <conditionalFormatting sqref="K67:O68">
    <cfRule type="cellIs" dxfId="101" priority="86" operator="equal">
      <formula>0</formula>
    </cfRule>
  </conditionalFormatting>
  <conditionalFormatting sqref="K17:M17">
    <cfRule type="cellIs" dxfId="100" priority="83" operator="equal">
      <formula>0</formula>
    </cfRule>
  </conditionalFormatting>
  <conditionalFormatting sqref="O17">
    <cfRule type="cellIs" dxfId="99" priority="85" operator="equal">
      <formula>0</formula>
    </cfRule>
  </conditionalFormatting>
  <conditionalFormatting sqref="K17:M17">
    <cfRule type="cellIs" dxfId="98" priority="84" operator="equal">
      <formula>0</formula>
    </cfRule>
  </conditionalFormatting>
  <conditionalFormatting sqref="N17">
    <cfRule type="cellIs" dxfId="97" priority="82" operator="equal">
      <formula>0</formula>
    </cfRule>
  </conditionalFormatting>
  <conditionalFormatting sqref="K28:O29">
    <cfRule type="cellIs" dxfId="96" priority="81" operator="equal">
      <formula>0</formula>
    </cfRule>
  </conditionalFormatting>
  <conditionalFormatting sqref="K30:O31">
    <cfRule type="cellIs" dxfId="95" priority="80" operator="equal">
      <formula>0</formula>
    </cfRule>
  </conditionalFormatting>
  <conditionalFormatting sqref="Q80">
    <cfRule type="cellIs" dxfId="94" priority="78" operator="equal">
      <formula>0</formula>
    </cfRule>
  </conditionalFormatting>
  <conditionalFormatting sqref="K80:O80">
    <cfRule type="cellIs" dxfId="93" priority="77" operator="equal">
      <formula>0</formula>
    </cfRule>
  </conditionalFormatting>
  <conditionalFormatting sqref="P80">
    <cfRule type="cellIs" dxfId="92" priority="76" operator="equal">
      <formula>0</formula>
    </cfRule>
  </conditionalFormatting>
  <conditionalFormatting sqref="T80">
    <cfRule type="duplicateValues" dxfId="91" priority="79"/>
  </conditionalFormatting>
  <conditionalFormatting sqref="H82 P81:Q81 K82:Q82">
    <cfRule type="cellIs" dxfId="90" priority="74" operator="equal">
      <formula>0</formula>
    </cfRule>
  </conditionalFormatting>
  <conditionalFormatting sqref="M81:O81">
    <cfRule type="cellIs" dxfId="89" priority="73" operator="equal">
      <formula>0</formula>
    </cfRule>
  </conditionalFormatting>
  <conditionalFormatting sqref="K81:L81">
    <cfRule type="cellIs" dxfId="88" priority="72" operator="equal">
      <formula>0</formula>
    </cfRule>
  </conditionalFormatting>
  <conditionalFormatting sqref="T81:T82">
    <cfRule type="duplicateValues" dxfId="87" priority="75"/>
  </conditionalFormatting>
  <conditionalFormatting sqref="H83 K83:Q83">
    <cfRule type="cellIs" dxfId="86" priority="70" operator="equal">
      <formula>0</formula>
    </cfRule>
  </conditionalFormatting>
  <conditionalFormatting sqref="T83">
    <cfRule type="duplicateValues" dxfId="85" priority="71"/>
  </conditionalFormatting>
  <conditionalFormatting sqref="H111:O112 Q111:Q112 H128:Q129 P101 Q120 P102:Q104 P114:P117 P109:P112 H105:Q108">
    <cfRule type="cellIs" dxfId="84" priority="67" operator="equal">
      <formula>0</formula>
    </cfRule>
  </conditionalFormatting>
  <conditionalFormatting sqref="I126:O127 H110:O110 Q110 Q126:Q127 I120:O120">
    <cfRule type="cellIs" dxfId="83" priority="66" operator="equal">
      <formula>0</formula>
    </cfRule>
  </conditionalFormatting>
  <conditionalFormatting sqref="Q122:Q123">
    <cfRule type="cellIs" dxfId="82" priority="65" operator="equal">
      <formula>0</formula>
    </cfRule>
  </conditionalFormatting>
  <conditionalFormatting sqref="I122:N123">
    <cfRule type="cellIs" dxfId="81" priority="64" operator="equal">
      <formula>0</formula>
    </cfRule>
  </conditionalFormatting>
  <conditionalFormatting sqref="I123:N123 Q123">
    <cfRule type="cellIs" dxfId="80" priority="63" operator="equal">
      <formula>0</formula>
    </cfRule>
  </conditionalFormatting>
  <conditionalFormatting sqref="I125:N125 Q125">
    <cfRule type="cellIs" dxfId="79" priority="62" operator="equal">
      <formula>0</formula>
    </cfRule>
  </conditionalFormatting>
  <conditionalFormatting sqref="O122:O123">
    <cfRule type="cellIs" dxfId="78" priority="61" operator="equal">
      <formula>0</formula>
    </cfRule>
  </conditionalFormatting>
  <conditionalFormatting sqref="O123">
    <cfRule type="cellIs" dxfId="77" priority="60" operator="equal">
      <formula>0</formula>
    </cfRule>
  </conditionalFormatting>
  <conditionalFormatting sqref="O125">
    <cfRule type="cellIs" dxfId="76" priority="59" operator="equal">
      <formula>0</formula>
    </cfRule>
  </conditionalFormatting>
  <conditionalFormatting sqref="I124:N124 Q124">
    <cfRule type="cellIs" dxfId="75" priority="58" operator="equal">
      <formula>0</formula>
    </cfRule>
  </conditionalFormatting>
  <conditionalFormatting sqref="O124">
    <cfRule type="cellIs" dxfId="74" priority="57" operator="equal">
      <formula>0</formula>
    </cfRule>
  </conditionalFormatting>
  <conditionalFormatting sqref="H109:O109 Q109">
    <cfRule type="cellIs" dxfId="73" priority="55" operator="equal">
      <formula>0</formula>
    </cfRule>
  </conditionalFormatting>
  <conditionalFormatting sqref="T109">
    <cfRule type="duplicateValues" dxfId="72" priority="56"/>
  </conditionalFormatting>
  <conditionalFormatting sqref="P122:P127 P100 P120">
    <cfRule type="cellIs" dxfId="71" priority="41" operator="equal">
      <formula>0</formula>
    </cfRule>
  </conditionalFormatting>
  <conditionalFormatting sqref="Q100">
    <cfRule type="cellIs" dxfId="70" priority="54" operator="equal">
      <formula>0</formula>
    </cfRule>
  </conditionalFormatting>
  <conditionalFormatting sqref="H128:O128 Q128">
    <cfRule type="cellIs" dxfId="69" priority="51" operator="equal">
      <formula>0</formula>
    </cfRule>
  </conditionalFormatting>
  <conditionalFormatting sqref="Q115:Q117 H115:O117">
    <cfRule type="cellIs" dxfId="68" priority="50" operator="equal">
      <formula>0</formula>
    </cfRule>
  </conditionalFormatting>
  <conditionalFormatting sqref="Q117">
    <cfRule type="cellIs" dxfId="67" priority="49" operator="equal">
      <formula>0</formula>
    </cfRule>
  </conditionalFormatting>
  <conditionalFormatting sqref="H117:N117">
    <cfRule type="cellIs" dxfId="66" priority="48" operator="equal">
      <formula>0</formula>
    </cfRule>
  </conditionalFormatting>
  <conditionalFormatting sqref="O117">
    <cfRule type="cellIs" dxfId="65" priority="47" operator="equal">
      <formula>0</formula>
    </cfRule>
  </conditionalFormatting>
  <conditionalFormatting sqref="H114:O114 Q114">
    <cfRule type="cellIs" dxfId="64" priority="46" operator="equal">
      <formula>0</formula>
    </cfRule>
  </conditionalFormatting>
  <conditionalFormatting sqref="T128:T129 T115:T117">
    <cfRule type="duplicateValues" dxfId="63" priority="52"/>
  </conditionalFormatting>
  <conditionalFormatting sqref="H101 Q101">
    <cfRule type="cellIs" dxfId="62" priority="44" operator="equal">
      <formula>0</formula>
    </cfRule>
  </conditionalFormatting>
  <conditionalFormatting sqref="H101 Q101">
    <cfRule type="cellIs" dxfId="61" priority="43" operator="equal">
      <formula>0</formula>
    </cfRule>
  </conditionalFormatting>
  <conditionalFormatting sqref="T101">
    <cfRule type="duplicateValues" dxfId="60" priority="45"/>
  </conditionalFormatting>
  <conditionalFormatting sqref="T114">
    <cfRule type="duplicateValues" dxfId="59" priority="53"/>
  </conditionalFormatting>
  <conditionalFormatting sqref="T100">
    <cfRule type="duplicateValues" dxfId="58" priority="42"/>
  </conditionalFormatting>
  <conditionalFormatting sqref="I130:AE130">
    <cfRule type="cellIs" dxfId="57" priority="39" operator="equal">
      <formula>0</formula>
    </cfRule>
  </conditionalFormatting>
  <conditionalFormatting sqref="I130:AE130">
    <cfRule type="cellIs" dxfId="56" priority="38" operator="equal">
      <formula>0</formula>
    </cfRule>
  </conditionalFormatting>
  <conditionalFormatting sqref="I121:Q121">
    <cfRule type="cellIs" dxfId="55" priority="36" operator="equal">
      <formula>0</formula>
    </cfRule>
  </conditionalFormatting>
  <conditionalFormatting sqref="T121">
    <cfRule type="duplicateValues" dxfId="54" priority="37"/>
  </conditionalFormatting>
  <conditionalFormatting sqref="T111:T112 T108">
    <cfRule type="duplicateValues" dxfId="53" priority="68"/>
  </conditionalFormatting>
  <conditionalFormatting sqref="T122:T127 T110 T102:T107 T120">
    <cfRule type="duplicateValues" dxfId="52" priority="69"/>
  </conditionalFormatting>
  <conditionalFormatting sqref="I118:Q119">
    <cfRule type="cellIs" dxfId="51" priority="34" operator="equal">
      <formula>0</formula>
    </cfRule>
  </conditionalFormatting>
  <conditionalFormatting sqref="T118:T119">
    <cfRule type="duplicateValues" dxfId="50" priority="35"/>
  </conditionalFormatting>
  <conditionalFormatting sqref="I113:Q113">
    <cfRule type="cellIs" dxfId="49" priority="32" operator="equal">
      <formula>0</formula>
    </cfRule>
  </conditionalFormatting>
  <conditionalFormatting sqref="T113">
    <cfRule type="duplicateValues" dxfId="48" priority="33"/>
  </conditionalFormatting>
  <conditionalFormatting sqref="I101:O104 I100 K100:O100">
    <cfRule type="cellIs" dxfId="47" priority="31" operator="equal">
      <formula>0</formula>
    </cfRule>
  </conditionalFormatting>
  <conditionalFormatting sqref="K84:L84 N84:Q84">
    <cfRule type="cellIs" dxfId="46" priority="29" operator="equal">
      <formula>0</formula>
    </cfRule>
  </conditionalFormatting>
  <conditionalFormatting sqref="K84:L84 N84">
    <cfRule type="cellIs" dxfId="45" priority="28" operator="equal">
      <formula>0</formula>
    </cfRule>
  </conditionalFormatting>
  <conditionalFormatting sqref="M84">
    <cfRule type="cellIs" dxfId="44" priority="27" operator="equal">
      <formula>0</formula>
    </cfRule>
  </conditionalFormatting>
  <conditionalFormatting sqref="M84">
    <cfRule type="cellIs" dxfId="43" priority="26" operator="equal">
      <formula>0</formula>
    </cfRule>
  </conditionalFormatting>
  <conditionalFormatting sqref="T84">
    <cfRule type="duplicateValues" dxfId="42" priority="30"/>
  </conditionalFormatting>
  <conditionalFormatting sqref="P96">
    <cfRule type="cellIs" dxfId="41" priority="25" operator="equal">
      <formula>0</formula>
    </cfRule>
  </conditionalFormatting>
  <conditionalFormatting sqref="H96 Q96 K96:O96">
    <cfRule type="cellIs" dxfId="40" priority="23" operator="equal">
      <formula>0</formula>
    </cfRule>
  </conditionalFormatting>
  <conditionalFormatting sqref="H96 Q96 K96:O96">
    <cfRule type="cellIs" dxfId="39" priority="22" operator="equal">
      <formula>0</formula>
    </cfRule>
  </conditionalFormatting>
  <conditionalFormatting sqref="T96">
    <cfRule type="duplicateValues" dxfId="38" priority="24"/>
  </conditionalFormatting>
  <conditionalFormatting sqref="H97 Q97 K97:O97">
    <cfRule type="cellIs" dxfId="37" priority="20" operator="equal">
      <formula>0</formula>
    </cfRule>
  </conditionalFormatting>
  <conditionalFormatting sqref="T97">
    <cfRule type="duplicateValues" dxfId="36" priority="21"/>
  </conditionalFormatting>
  <conditionalFormatting sqref="P97">
    <cfRule type="cellIs" dxfId="35" priority="19" operator="equal">
      <formula>0</formula>
    </cfRule>
  </conditionalFormatting>
  <conditionalFormatting sqref="H98 K98:Q98">
    <cfRule type="cellIs" dxfId="34" priority="17" operator="equal">
      <formula>0</formula>
    </cfRule>
  </conditionalFormatting>
  <conditionalFormatting sqref="T98">
    <cfRule type="duplicateValues" dxfId="33" priority="18"/>
  </conditionalFormatting>
  <conditionalFormatting sqref="K44:O44">
    <cfRule type="cellIs" dxfId="32" priority="16" operator="equal">
      <formula>0</formula>
    </cfRule>
  </conditionalFormatting>
  <conditionalFormatting sqref="P99">
    <cfRule type="cellIs" dxfId="31" priority="15" operator="equal">
      <formula>0</formula>
    </cfRule>
  </conditionalFormatting>
  <conditionalFormatting sqref="H99 Q99">
    <cfRule type="cellIs" dxfId="30" priority="13" operator="equal">
      <formula>0</formula>
    </cfRule>
  </conditionalFormatting>
  <conditionalFormatting sqref="T99">
    <cfRule type="duplicateValues" dxfId="29" priority="14"/>
  </conditionalFormatting>
  <conditionalFormatting sqref="K99:O99">
    <cfRule type="cellIs" dxfId="28" priority="12" operator="equal">
      <formula>0</formula>
    </cfRule>
  </conditionalFormatting>
  <conditionalFormatting sqref="K99:O99">
    <cfRule type="cellIs" dxfId="27" priority="11" operator="equal">
      <formula>0</formula>
    </cfRule>
  </conditionalFormatting>
  <conditionalFormatting sqref="K46:N46">
    <cfRule type="cellIs" dxfId="26" priority="10" operator="equal">
      <formula>0</formula>
    </cfRule>
  </conditionalFormatting>
  <conditionalFormatting sqref="O46">
    <cfRule type="cellIs" dxfId="25" priority="9" operator="equal">
      <formula>0</formula>
    </cfRule>
  </conditionalFormatting>
  <conditionalFormatting sqref="K66:O66">
    <cfRule type="cellIs" dxfId="24" priority="8" operator="equal">
      <formula>0</formula>
    </cfRule>
  </conditionalFormatting>
  <conditionalFormatting sqref="K63:O63">
    <cfRule type="cellIs" dxfId="23" priority="7" operator="equal">
      <formula>0</formula>
    </cfRule>
  </conditionalFormatting>
  <conditionalFormatting sqref="T55">
    <cfRule type="duplicateValues" dxfId="22" priority="235"/>
  </conditionalFormatting>
  <conditionalFormatting sqref="T57:T59 T49 T41 T30:T34 T36:T39 T19 T26 T23 T28 T14 T44:T46">
    <cfRule type="duplicateValues" dxfId="21" priority="236"/>
  </conditionalFormatting>
  <conditionalFormatting sqref="T53">
    <cfRule type="duplicateValues" dxfId="20" priority="237"/>
  </conditionalFormatting>
  <conditionalFormatting sqref="T61">
    <cfRule type="duplicateValues" dxfId="19" priority="238"/>
  </conditionalFormatting>
  <conditionalFormatting sqref="T60 T66:T68 T62:T63">
    <cfRule type="duplicateValues" dxfId="18" priority="239"/>
  </conditionalFormatting>
  <conditionalFormatting sqref="T89:T93 T87">
    <cfRule type="duplicateValues" dxfId="17" priority="240"/>
  </conditionalFormatting>
  <conditionalFormatting sqref="H130">
    <cfRule type="cellIs" dxfId="16" priority="6" operator="equal">
      <formula>0</formula>
    </cfRule>
  </conditionalFormatting>
  <conditionalFormatting sqref="K130">
    <cfRule type="expression" dxfId="15" priority="5">
      <formula>$K$130=0</formula>
    </cfRule>
  </conditionalFormatting>
  <conditionalFormatting sqref="O130">
    <cfRule type="expression" dxfId="14" priority="4">
      <formula>$O$130=0</formula>
    </cfRule>
  </conditionalFormatting>
  <conditionalFormatting sqref="K6:K129 O6:O129">
    <cfRule type="cellIs" dxfId="13" priority="1" operator="equal">
      <formula>0</formula>
    </cfRule>
  </conditionalFormatting>
  <printOptions horizontalCentered="1"/>
  <pageMargins left="0.31496062992125984" right="0.31496062992125984" top="0.55118110236220474" bottom="0.35433070866141736" header="0.31496062992125984" footer="0.31496062992125984"/>
  <pageSetup paperSize="9" scale="44" orientation="portrait" r:id="rId1"/>
  <rowBreaks count="2" manualBreakCount="2">
    <brk id="45" max="31" man="1"/>
    <brk id="90" max="3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DAE0-2691-4042-9010-71EC68B9D362}">
  <sheetPr codeName="Sheet1"/>
  <dimension ref="A1:I22"/>
  <sheetViews>
    <sheetView showGridLines="0" zoomScaleNormal="100" workbookViewId="0"/>
  </sheetViews>
  <sheetFormatPr defaultColWidth="9.07421875" defaultRowHeight="18.45" x14ac:dyDescent="0.25"/>
  <cols>
    <col min="1" max="1" width="15.15234375" style="62" bestFit="1" customWidth="1"/>
    <col min="2" max="3" width="13.3046875" style="62" bestFit="1" customWidth="1"/>
    <col min="4" max="4" width="15.61328125" style="62" bestFit="1" customWidth="1"/>
    <col min="5" max="5" width="20.23046875" style="62" customWidth="1"/>
    <col min="6" max="6" width="42.53515625" style="62" customWidth="1"/>
    <col min="7" max="7" width="7.4609375" style="62" customWidth="1"/>
    <col min="8" max="8" width="8.921875" style="62" customWidth="1"/>
    <col min="9" max="9" width="12.765625" style="62" customWidth="1"/>
    <col min="10" max="16384" width="9.07421875" style="62"/>
  </cols>
  <sheetData>
    <row r="1" spans="1:9" ht="18.899999999999999" thickBot="1" x14ac:dyDescent="0.3"/>
    <row r="2" spans="1:9" ht="22.3" thickTop="1" thickBot="1" x14ac:dyDescent="0.6">
      <c r="A2" s="63" t="s">
        <v>16</v>
      </c>
      <c r="B2" s="63"/>
      <c r="C2" s="63"/>
      <c r="D2" s="64"/>
      <c r="E2" s="65"/>
      <c r="F2" s="66"/>
      <c r="G2" s="67"/>
      <c r="H2" s="67"/>
      <c r="I2" s="67"/>
    </row>
    <row r="3" spans="1:9" ht="18.899999999999999" thickTop="1" x14ac:dyDescent="0.4">
      <c r="A3" s="68" t="s">
        <v>30</v>
      </c>
      <c r="B3" s="68"/>
      <c r="C3" s="68"/>
      <c r="D3" s="69"/>
      <c r="E3" s="70"/>
      <c r="F3" s="69"/>
      <c r="G3" s="68"/>
      <c r="H3" s="71"/>
      <c r="I3" s="72" t="s">
        <v>31</v>
      </c>
    </row>
    <row r="4" spans="1:9" x14ac:dyDescent="0.4">
      <c r="A4" s="73"/>
      <c r="B4" s="68"/>
      <c r="C4" s="68"/>
      <c r="D4" s="69"/>
      <c r="E4" s="70"/>
      <c r="F4" s="74"/>
      <c r="G4" s="68"/>
      <c r="H4" s="69"/>
      <c r="I4" s="75" t="s">
        <v>68</v>
      </c>
    </row>
    <row r="5" spans="1:9" x14ac:dyDescent="0.4">
      <c r="A5" s="73" t="s">
        <v>61</v>
      </c>
      <c r="B5" s="68"/>
      <c r="C5" s="68"/>
      <c r="D5" s="69"/>
      <c r="E5" s="70"/>
      <c r="F5" s="74"/>
      <c r="G5" s="68"/>
      <c r="H5" s="69"/>
      <c r="I5" s="75" t="s">
        <v>32</v>
      </c>
    </row>
    <row r="6" spans="1:9" x14ac:dyDescent="0.4">
      <c r="A6" s="73" t="s">
        <v>62</v>
      </c>
      <c r="B6" s="68"/>
      <c r="C6" s="68"/>
      <c r="D6" s="69"/>
      <c r="E6" s="70"/>
      <c r="F6" s="74"/>
      <c r="G6" s="68"/>
      <c r="H6" s="69"/>
      <c r="I6" s="75" t="s">
        <v>33</v>
      </c>
    </row>
    <row r="7" spans="1:9" x14ac:dyDescent="0.4">
      <c r="A7" s="68" t="s">
        <v>63</v>
      </c>
      <c r="B7" s="68"/>
      <c r="C7" s="68"/>
      <c r="D7" s="69"/>
      <c r="E7" s="70"/>
      <c r="F7" s="74"/>
      <c r="G7" s="68"/>
      <c r="H7" s="69"/>
      <c r="I7" s="75" t="s">
        <v>34</v>
      </c>
    </row>
    <row r="8" spans="1:9" x14ac:dyDescent="0.4">
      <c r="A8" s="68" t="s">
        <v>64</v>
      </c>
      <c r="B8" s="68"/>
      <c r="C8" s="68"/>
      <c r="D8" s="69"/>
      <c r="E8" s="70"/>
      <c r="F8" s="69"/>
      <c r="G8" s="68"/>
      <c r="H8" s="69"/>
      <c r="I8" s="75" t="s">
        <v>35</v>
      </c>
    </row>
    <row r="9" spans="1:9" x14ac:dyDescent="0.4">
      <c r="A9" s="68" t="s">
        <v>65</v>
      </c>
      <c r="B9" s="68"/>
      <c r="C9" s="68"/>
      <c r="D9" s="69"/>
      <c r="E9" s="70"/>
      <c r="F9" s="69"/>
      <c r="G9" s="68"/>
      <c r="H9" s="69"/>
      <c r="I9" s="75" t="s">
        <v>67</v>
      </c>
    </row>
    <row r="10" spans="1:9" x14ac:dyDescent="0.4">
      <c r="A10" s="68" t="s">
        <v>66</v>
      </c>
      <c r="B10" s="68"/>
      <c r="C10" s="68"/>
      <c r="D10" s="69"/>
      <c r="E10" s="70"/>
      <c r="F10" s="69"/>
      <c r="G10" s="68"/>
      <c r="H10" s="68"/>
      <c r="I10" s="68"/>
    </row>
    <row r="11" spans="1:9" x14ac:dyDescent="0.4">
      <c r="A11" s="68"/>
      <c r="B11" s="68"/>
      <c r="C11" s="68"/>
      <c r="D11" s="69"/>
      <c r="E11" s="70"/>
      <c r="F11" s="69"/>
      <c r="G11" s="76"/>
      <c r="H11" s="76"/>
      <c r="I11" s="76"/>
    </row>
    <row r="12" spans="1:9" x14ac:dyDescent="0.4">
      <c r="A12" s="77" t="s">
        <v>17</v>
      </c>
      <c r="B12" s="77" t="s">
        <v>18</v>
      </c>
      <c r="C12" s="78" t="s">
        <v>19</v>
      </c>
      <c r="D12" s="79" t="s">
        <v>20</v>
      </c>
      <c r="E12" s="80" t="s">
        <v>21</v>
      </c>
      <c r="F12" s="79" t="s">
        <v>22</v>
      </c>
      <c r="G12" s="81" t="s">
        <v>23</v>
      </c>
      <c r="H12" s="81" t="s">
        <v>24</v>
      </c>
      <c r="I12" s="81" t="s">
        <v>25</v>
      </c>
    </row>
    <row r="13" spans="1:9" x14ac:dyDescent="0.4">
      <c r="A13" s="82">
        <v>44673</v>
      </c>
      <c r="B13" s="69" t="s">
        <v>75</v>
      </c>
      <c r="C13" s="75" t="s">
        <v>78</v>
      </c>
      <c r="D13" s="83" t="s">
        <v>43</v>
      </c>
      <c r="E13" s="84">
        <v>8</v>
      </c>
      <c r="F13" s="69" t="s">
        <v>36</v>
      </c>
      <c r="G13" s="68">
        <v>10</v>
      </c>
      <c r="H13" s="85">
        <v>140</v>
      </c>
      <c r="I13" s="85">
        <v>1400</v>
      </c>
    </row>
    <row r="14" spans="1:9" x14ac:dyDescent="0.4">
      <c r="A14" s="82">
        <v>44673</v>
      </c>
      <c r="B14" s="69" t="s">
        <v>75</v>
      </c>
      <c r="C14" s="75" t="s">
        <v>78</v>
      </c>
      <c r="D14" s="83" t="s">
        <v>44</v>
      </c>
      <c r="E14" s="84">
        <v>1</v>
      </c>
      <c r="F14" s="69" t="s">
        <v>36</v>
      </c>
      <c r="G14" s="68">
        <v>5</v>
      </c>
      <c r="H14" s="85">
        <v>200</v>
      </c>
      <c r="I14" s="85">
        <v>1000</v>
      </c>
    </row>
    <row r="15" spans="1:9" x14ac:dyDescent="0.4">
      <c r="A15" s="82">
        <v>44673</v>
      </c>
      <c r="B15" s="69" t="s">
        <v>75</v>
      </c>
      <c r="C15" s="75" t="s">
        <v>78</v>
      </c>
      <c r="D15" s="83" t="s">
        <v>44</v>
      </c>
      <c r="E15" s="84">
        <v>2</v>
      </c>
      <c r="F15" s="69" t="s">
        <v>37</v>
      </c>
      <c r="G15" s="68">
        <v>5</v>
      </c>
      <c r="H15" s="85">
        <v>230</v>
      </c>
      <c r="I15" s="85">
        <v>1150</v>
      </c>
    </row>
    <row r="16" spans="1:9" hidden="1" x14ac:dyDescent="0.4">
      <c r="A16" s="82">
        <v>44673</v>
      </c>
      <c r="B16" s="69" t="s">
        <v>26</v>
      </c>
      <c r="C16" s="75">
        <v>21326382</v>
      </c>
      <c r="D16" s="83" t="s">
        <v>44</v>
      </c>
      <c r="E16" s="84">
        <v>3</v>
      </c>
      <c r="F16" s="69" t="s">
        <v>38</v>
      </c>
      <c r="G16" s="68">
        <v>6</v>
      </c>
      <c r="H16" s="85">
        <v>85</v>
      </c>
      <c r="I16" s="85">
        <v>510</v>
      </c>
    </row>
    <row r="17" spans="1:9" hidden="1" x14ac:dyDescent="0.4">
      <c r="A17" s="82">
        <v>44673</v>
      </c>
      <c r="B17" s="69" t="s">
        <v>26</v>
      </c>
      <c r="C17" s="68">
        <v>21326392</v>
      </c>
      <c r="D17" s="83" t="s">
        <v>44</v>
      </c>
      <c r="E17" s="84">
        <v>4</v>
      </c>
      <c r="F17" s="69" t="s">
        <v>39</v>
      </c>
      <c r="G17" s="68">
        <v>10</v>
      </c>
      <c r="H17" s="85">
        <v>95</v>
      </c>
      <c r="I17" s="85">
        <v>950</v>
      </c>
    </row>
    <row r="18" spans="1:9" hidden="1" x14ac:dyDescent="0.4">
      <c r="A18" s="82">
        <v>44673</v>
      </c>
      <c r="B18" s="69" t="s">
        <v>26</v>
      </c>
      <c r="C18" s="68">
        <v>21326393</v>
      </c>
      <c r="D18" s="83" t="s">
        <v>44</v>
      </c>
      <c r="E18" s="84">
        <v>5</v>
      </c>
      <c r="F18" s="69" t="s">
        <v>40</v>
      </c>
      <c r="G18" s="68">
        <v>10</v>
      </c>
      <c r="H18" s="85">
        <v>55</v>
      </c>
      <c r="I18" s="85">
        <v>550</v>
      </c>
    </row>
    <row r="19" spans="1:9" hidden="1" x14ac:dyDescent="0.4">
      <c r="A19" s="82">
        <v>44673</v>
      </c>
      <c r="B19" s="69" t="s">
        <v>26</v>
      </c>
      <c r="C19" s="68">
        <v>21326561</v>
      </c>
      <c r="D19" s="83" t="s">
        <v>44</v>
      </c>
      <c r="E19" s="84">
        <v>6</v>
      </c>
      <c r="F19" s="69" t="s">
        <v>41</v>
      </c>
      <c r="G19" s="68">
        <v>10</v>
      </c>
      <c r="H19" s="85">
        <v>65</v>
      </c>
      <c r="I19" s="85">
        <v>650</v>
      </c>
    </row>
    <row r="20" spans="1:9" hidden="1" x14ac:dyDescent="0.4">
      <c r="A20" s="82">
        <v>44673</v>
      </c>
      <c r="B20" s="69" t="s">
        <v>26</v>
      </c>
      <c r="C20" s="68">
        <v>21493260</v>
      </c>
      <c r="D20" s="83" t="s">
        <v>44</v>
      </c>
      <c r="E20" s="84">
        <v>7</v>
      </c>
      <c r="F20" s="69" t="s">
        <v>42</v>
      </c>
      <c r="G20" s="68">
        <v>5</v>
      </c>
      <c r="H20" s="85">
        <v>160</v>
      </c>
      <c r="I20" s="85">
        <v>800</v>
      </c>
    </row>
    <row r="21" spans="1:9" hidden="1" x14ac:dyDescent="0.4">
      <c r="A21" s="82">
        <v>44673</v>
      </c>
      <c r="B21" s="69" t="s">
        <v>26</v>
      </c>
      <c r="C21" s="68">
        <v>22027597</v>
      </c>
      <c r="D21" s="83" t="s">
        <v>45</v>
      </c>
      <c r="E21" s="84">
        <v>9</v>
      </c>
      <c r="F21" s="69" t="s">
        <v>36</v>
      </c>
      <c r="G21" s="68">
        <v>5</v>
      </c>
      <c r="H21" s="85">
        <v>240</v>
      </c>
      <c r="I21" s="85">
        <v>1200</v>
      </c>
    </row>
    <row r="22" spans="1:9" hidden="1" x14ac:dyDescent="0.4">
      <c r="A22" s="82">
        <v>44673</v>
      </c>
      <c r="B22" s="69" t="s">
        <v>26</v>
      </c>
      <c r="C22" s="68">
        <v>22027600</v>
      </c>
      <c r="D22" s="83" t="s">
        <v>45</v>
      </c>
      <c r="E22" s="84">
        <v>10</v>
      </c>
      <c r="F22" s="69" t="s">
        <v>37</v>
      </c>
      <c r="G22" s="68">
        <v>5</v>
      </c>
      <c r="H22" s="85">
        <v>120</v>
      </c>
      <c r="I22" s="85">
        <v>600</v>
      </c>
    </row>
  </sheetData>
  <phoneticPr fontId="16"/>
  <conditionalFormatting sqref="A13:I22">
    <cfRule type="cellIs" dxfId="12" priority="1" operator="notEqual">
      <formula>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56CC-F090-4575-A6B4-2CA6A7271168}">
  <sheetPr codeName="Sheet2"/>
  <dimension ref="A1:I22"/>
  <sheetViews>
    <sheetView showGridLines="0" workbookViewId="0"/>
  </sheetViews>
  <sheetFormatPr defaultColWidth="9.07421875" defaultRowHeight="18.45" x14ac:dyDescent="0.25"/>
  <cols>
    <col min="1" max="1" width="15.15234375" style="62" bestFit="1" customWidth="1"/>
    <col min="2" max="3" width="13.3046875" style="62" bestFit="1" customWidth="1"/>
    <col min="4" max="4" width="15.61328125" style="62" bestFit="1" customWidth="1"/>
    <col min="5" max="5" width="20.23046875" style="62" customWidth="1"/>
    <col min="6" max="6" width="42.53515625" style="62" customWidth="1"/>
    <col min="7" max="7" width="7.4609375" style="62" customWidth="1"/>
    <col min="8" max="8" width="8.921875" style="62" customWidth="1"/>
    <col min="9" max="9" width="12.765625" style="62" customWidth="1"/>
    <col min="10" max="16384" width="9.07421875" style="62"/>
  </cols>
  <sheetData>
    <row r="1" spans="1:9" ht="18.899999999999999" thickBot="1" x14ac:dyDescent="0.3"/>
    <row r="2" spans="1:9" ht="22.3" thickTop="1" thickBot="1" x14ac:dyDescent="0.6">
      <c r="A2" s="63" t="s">
        <v>16</v>
      </c>
      <c r="B2" s="63"/>
      <c r="C2" s="63"/>
      <c r="D2" s="64"/>
      <c r="E2" s="65"/>
      <c r="F2" s="66"/>
      <c r="G2" s="67"/>
      <c r="H2" s="67"/>
      <c r="I2" s="67"/>
    </row>
    <row r="3" spans="1:9" ht="18.899999999999999" thickTop="1" x14ac:dyDescent="0.4">
      <c r="A3" s="68" t="s">
        <v>30</v>
      </c>
      <c r="B3" s="68"/>
      <c r="C3" s="68"/>
      <c r="D3" s="69"/>
      <c r="E3" s="70"/>
      <c r="F3" s="69"/>
      <c r="G3" s="68"/>
      <c r="H3" s="71"/>
      <c r="I3" s="72" t="s">
        <v>31</v>
      </c>
    </row>
    <row r="4" spans="1:9" x14ac:dyDescent="0.4">
      <c r="A4" s="73"/>
      <c r="B4" s="68"/>
      <c r="C4" s="68"/>
      <c r="D4" s="69"/>
      <c r="E4" s="70"/>
      <c r="F4" s="74"/>
      <c r="G4" s="68"/>
      <c r="H4" s="69"/>
      <c r="I4" s="75" t="s">
        <v>68</v>
      </c>
    </row>
    <row r="5" spans="1:9" x14ac:dyDescent="0.4">
      <c r="A5" s="73" t="s">
        <v>61</v>
      </c>
      <c r="B5" s="68"/>
      <c r="C5" s="68"/>
      <c r="D5" s="69"/>
      <c r="E5" s="70"/>
      <c r="F5" s="74"/>
      <c r="G5" s="68"/>
      <c r="H5" s="69"/>
      <c r="I5" s="75" t="s">
        <v>32</v>
      </c>
    </row>
    <row r="6" spans="1:9" x14ac:dyDescent="0.4">
      <c r="A6" s="73" t="s">
        <v>62</v>
      </c>
      <c r="B6" s="68"/>
      <c r="C6" s="68"/>
      <c r="D6" s="69"/>
      <c r="E6" s="70"/>
      <c r="F6" s="74"/>
      <c r="G6" s="68"/>
      <c r="H6" s="69"/>
      <c r="I6" s="75" t="s">
        <v>33</v>
      </c>
    </row>
    <row r="7" spans="1:9" x14ac:dyDescent="0.4">
      <c r="A7" s="68" t="s">
        <v>63</v>
      </c>
      <c r="B7" s="68"/>
      <c r="C7" s="68"/>
      <c r="D7" s="69"/>
      <c r="E7" s="70"/>
      <c r="F7" s="74"/>
      <c r="G7" s="68"/>
      <c r="H7" s="69"/>
      <c r="I7" s="75" t="s">
        <v>34</v>
      </c>
    </row>
    <row r="8" spans="1:9" x14ac:dyDescent="0.4">
      <c r="A8" s="68" t="s">
        <v>64</v>
      </c>
      <c r="B8" s="68"/>
      <c r="C8" s="68"/>
      <c r="D8" s="69"/>
      <c r="E8" s="70"/>
      <c r="F8" s="69"/>
      <c r="G8" s="68"/>
      <c r="H8" s="69"/>
      <c r="I8" s="75" t="s">
        <v>35</v>
      </c>
    </row>
    <row r="9" spans="1:9" x14ac:dyDescent="0.4">
      <c r="A9" s="68" t="s">
        <v>65</v>
      </c>
      <c r="B9" s="68"/>
      <c r="C9" s="68"/>
      <c r="D9" s="69"/>
      <c r="E9" s="70"/>
      <c r="F9" s="69"/>
      <c r="G9" s="68"/>
      <c r="H9" s="69"/>
      <c r="I9" s="75" t="s">
        <v>67</v>
      </c>
    </row>
    <row r="10" spans="1:9" x14ac:dyDescent="0.4">
      <c r="A10" s="68" t="s">
        <v>66</v>
      </c>
      <c r="B10" s="68"/>
      <c r="C10" s="68"/>
      <c r="D10" s="69"/>
      <c r="E10" s="70"/>
      <c r="F10" s="69"/>
      <c r="G10" s="68"/>
      <c r="H10" s="68"/>
      <c r="I10" s="68"/>
    </row>
    <row r="11" spans="1:9" x14ac:dyDescent="0.4">
      <c r="A11" s="68"/>
      <c r="B11" s="68"/>
      <c r="C11" s="68"/>
      <c r="D11" s="69"/>
      <c r="E11" s="70"/>
      <c r="F11" s="69"/>
      <c r="G11" s="76"/>
      <c r="H11" s="76"/>
      <c r="I11" s="76"/>
    </row>
    <row r="12" spans="1:9" x14ac:dyDescent="0.4">
      <c r="A12" s="77" t="s">
        <v>17</v>
      </c>
      <c r="B12" s="77" t="s">
        <v>18</v>
      </c>
      <c r="C12" s="78" t="s">
        <v>19</v>
      </c>
      <c r="D12" s="79" t="s">
        <v>20</v>
      </c>
      <c r="E12" s="80" t="s">
        <v>21</v>
      </c>
      <c r="F12" s="79" t="s">
        <v>22</v>
      </c>
      <c r="G12" s="81" t="s">
        <v>23</v>
      </c>
      <c r="H12" s="81" t="s">
        <v>24</v>
      </c>
      <c r="I12" s="81" t="s">
        <v>25</v>
      </c>
    </row>
    <row r="13" spans="1:9" x14ac:dyDescent="0.4">
      <c r="A13" s="82">
        <v>44673</v>
      </c>
      <c r="B13" s="69" t="s">
        <v>79</v>
      </c>
      <c r="C13" s="75" t="s">
        <v>78</v>
      </c>
      <c r="D13" s="83" t="s">
        <v>43</v>
      </c>
      <c r="E13" s="84">
        <v>12</v>
      </c>
      <c r="F13" s="69" t="s">
        <v>49</v>
      </c>
      <c r="G13" s="68">
        <v>5</v>
      </c>
      <c r="H13" s="85">
        <v>234</v>
      </c>
      <c r="I13" s="85">
        <v>1200</v>
      </c>
    </row>
    <row r="14" spans="1:9" x14ac:dyDescent="0.4">
      <c r="A14" s="82">
        <v>44673</v>
      </c>
      <c r="B14" s="69" t="s">
        <v>79</v>
      </c>
      <c r="C14" s="75" t="s">
        <v>78</v>
      </c>
      <c r="D14" s="83" t="s">
        <v>45</v>
      </c>
      <c r="E14" s="84">
        <v>9</v>
      </c>
      <c r="F14" s="69" t="s">
        <v>36</v>
      </c>
      <c r="G14" s="68">
        <v>5</v>
      </c>
      <c r="H14" s="85">
        <v>240</v>
      </c>
      <c r="I14" s="85">
        <v>600</v>
      </c>
    </row>
    <row r="15" spans="1:9" x14ac:dyDescent="0.4">
      <c r="A15" s="82">
        <v>44673</v>
      </c>
      <c r="B15" s="69" t="s">
        <v>79</v>
      </c>
      <c r="C15" s="75" t="s">
        <v>78</v>
      </c>
      <c r="D15" s="83" t="s">
        <v>45</v>
      </c>
      <c r="E15" s="84">
        <v>10</v>
      </c>
      <c r="F15" s="69" t="s">
        <v>37</v>
      </c>
      <c r="G15" s="68">
        <v>5</v>
      </c>
      <c r="H15" s="85">
        <v>120</v>
      </c>
      <c r="I15" s="85">
        <v>1250</v>
      </c>
    </row>
    <row r="16" spans="1:9" x14ac:dyDescent="0.4">
      <c r="A16" s="82">
        <v>44673</v>
      </c>
      <c r="B16" s="69" t="s">
        <v>79</v>
      </c>
      <c r="C16" s="75" t="s">
        <v>78</v>
      </c>
      <c r="D16" s="83" t="s">
        <v>44</v>
      </c>
      <c r="E16" s="84">
        <v>3</v>
      </c>
      <c r="F16" s="69" t="s">
        <v>38</v>
      </c>
      <c r="G16" s="68">
        <v>20</v>
      </c>
      <c r="H16" s="85">
        <v>30</v>
      </c>
      <c r="I16" s="85">
        <v>600</v>
      </c>
    </row>
    <row r="17" spans="1:9" x14ac:dyDescent="0.4">
      <c r="A17" s="82">
        <v>44673</v>
      </c>
      <c r="B17" s="69" t="s">
        <v>79</v>
      </c>
      <c r="C17" s="75" t="s">
        <v>78</v>
      </c>
      <c r="D17" s="83" t="s">
        <v>44</v>
      </c>
      <c r="E17" s="84">
        <v>4</v>
      </c>
      <c r="F17" s="69" t="s">
        <v>39</v>
      </c>
      <c r="G17" s="68">
        <v>10</v>
      </c>
      <c r="H17" s="85">
        <v>35</v>
      </c>
      <c r="I17" s="85">
        <v>350</v>
      </c>
    </row>
    <row r="18" spans="1:9" x14ac:dyDescent="0.4">
      <c r="A18" s="82">
        <v>44673</v>
      </c>
      <c r="B18" s="69" t="s">
        <v>79</v>
      </c>
      <c r="C18" s="75" t="s">
        <v>78</v>
      </c>
      <c r="D18" s="83" t="s">
        <v>44</v>
      </c>
      <c r="E18" s="84">
        <v>5</v>
      </c>
      <c r="F18" s="69" t="s">
        <v>40</v>
      </c>
      <c r="G18" s="68">
        <v>6</v>
      </c>
      <c r="H18" s="85">
        <v>85</v>
      </c>
      <c r="I18" s="85">
        <v>510</v>
      </c>
    </row>
    <row r="19" spans="1:9" x14ac:dyDescent="0.4">
      <c r="A19" s="82">
        <v>44673</v>
      </c>
      <c r="B19" s="69" t="s">
        <v>79</v>
      </c>
      <c r="C19" s="75" t="s">
        <v>78</v>
      </c>
      <c r="D19" s="83" t="s">
        <v>43</v>
      </c>
      <c r="E19" s="84">
        <v>8</v>
      </c>
      <c r="F19" s="69" t="s">
        <v>36</v>
      </c>
      <c r="G19" s="68">
        <v>10</v>
      </c>
      <c r="H19" s="85">
        <v>55</v>
      </c>
      <c r="I19" s="85">
        <v>550</v>
      </c>
    </row>
    <row r="20" spans="1:9" x14ac:dyDescent="0.4">
      <c r="A20" s="82">
        <v>44673</v>
      </c>
      <c r="B20" s="69" t="s">
        <v>79</v>
      </c>
      <c r="C20" s="75" t="s">
        <v>78</v>
      </c>
      <c r="D20" s="83" t="s">
        <v>43</v>
      </c>
      <c r="E20" s="84">
        <v>9</v>
      </c>
      <c r="F20" s="69" t="s">
        <v>42</v>
      </c>
      <c r="G20" s="68">
        <v>6</v>
      </c>
      <c r="H20" s="85">
        <v>120</v>
      </c>
      <c r="I20" s="85">
        <v>720</v>
      </c>
    </row>
    <row r="21" spans="1:9" x14ac:dyDescent="0.4">
      <c r="A21" s="82">
        <v>44673</v>
      </c>
      <c r="B21" s="69" t="s">
        <v>79</v>
      </c>
      <c r="C21" s="75" t="s">
        <v>78</v>
      </c>
      <c r="D21" s="83" t="s">
        <v>43</v>
      </c>
      <c r="E21" s="84">
        <v>10</v>
      </c>
      <c r="F21" s="69" t="s">
        <v>46</v>
      </c>
      <c r="G21" s="68">
        <v>10</v>
      </c>
      <c r="H21" s="85">
        <v>65</v>
      </c>
      <c r="I21" s="85">
        <v>650</v>
      </c>
    </row>
    <row r="22" spans="1:9" x14ac:dyDescent="0.4">
      <c r="A22" s="82">
        <v>44673</v>
      </c>
      <c r="B22" s="69" t="s">
        <v>79</v>
      </c>
      <c r="C22" s="75" t="s">
        <v>78</v>
      </c>
      <c r="D22" s="83" t="s">
        <v>43</v>
      </c>
      <c r="E22" s="84">
        <v>11</v>
      </c>
      <c r="F22" s="69" t="s">
        <v>47</v>
      </c>
      <c r="G22" s="68">
        <v>5</v>
      </c>
      <c r="H22" s="85">
        <v>120</v>
      </c>
      <c r="I22" s="85">
        <v>600</v>
      </c>
    </row>
  </sheetData>
  <phoneticPr fontId="16"/>
  <conditionalFormatting sqref="A13:H13 G16:I19 I15 D14:D19 D20:I22 A14:C22">
    <cfRule type="cellIs" dxfId="11" priority="7" operator="notEqual">
      <formula>""</formula>
    </cfRule>
  </conditionalFormatting>
  <conditionalFormatting sqref="E16:F18">
    <cfRule type="cellIs" dxfId="10" priority="6" operator="notEqual">
      <formula>""</formula>
    </cfRule>
  </conditionalFormatting>
  <conditionalFormatting sqref="E19:F19">
    <cfRule type="cellIs" dxfId="9" priority="5" operator="notEqual">
      <formula>""</formula>
    </cfRule>
  </conditionalFormatting>
  <conditionalFormatting sqref="E14:E15">
    <cfRule type="cellIs" dxfId="8" priority="4" operator="notEqual">
      <formula>""</formula>
    </cfRule>
  </conditionalFormatting>
  <conditionalFormatting sqref="G14:H15">
    <cfRule type="cellIs" dxfId="7" priority="3" operator="notEqual">
      <formula>""</formula>
    </cfRule>
  </conditionalFormatting>
  <conditionalFormatting sqref="I13:I14">
    <cfRule type="cellIs" dxfId="6" priority="2" operator="notEqual">
      <formula>""</formula>
    </cfRule>
  </conditionalFormatting>
  <conditionalFormatting sqref="F14:F15">
    <cfRule type="cellIs" dxfId="5" priority="1" operator="notEqual">
      <formula>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F4553-0A21-4F7F-A59D-1B7334E9D71B}">
  <sheetPr codeName="Sheet3">
    <pageSetUpPr fitToPage="1"/>
  </sheetPr>
  <dimension ref="A1:J50"/>
  <sheetViews>
    <sheetView showGridLines="0" zoomScaleNormal="100" workbookViewId="0">
      <pane ySplit="12" topLeftCell="A13" activePane="bottomLeft" state="frozen"/>
      <selection activeCell="B24" sqref="B24"/>
      <selection pane="bottomLeft" activeCell="A13" sqref="A13"/>
    </sheetView>
  </sheetViews>
  <sheetFormatPr defaultColWidth="9.69140625" defaultRowHeight="15.45" x14ac:dyDescent="0.4"/>
  <cols>
    <col min="1" max="1" width="14.61328125" style="86" bestFit="1" customWidth="1"/>
    <col min="2" max="2" width="13.84375" style="86" bestFit="1" customWidth="1"/>
    <col min="3" max="3" width="13.69140625" style="86" bestFit="1" customWidth="1"/>
    <col min="4" max="4" width="13.69140625" style="86" customWidth="1"/>
    <col min="5" max="5" width="21" style="87" customWidth="1"/>
    <col min="6" max="6" width="63.84375" style="86" bestFit="1" customWidth="1"/>
    <col min="7" max="7" width="7.765625" style="88" customWidth="1"/>
    <col min="8" max="8" width="14.61328125" style="88" customWidth="1"/>
    <col min="9" max="9" width="14.3046875" style="88" customWidth="1"/>
    <col min="10" max="10" width="10.84375" style="88" bestFit="1" customWidth="1"/>
    <col min="11" max="16384" width="9.69140625" style="88"/>
  </cols>
  <sheetData>
    <row r="1" spans="1:10" ht="15.9" thickBot="1" x14ac:dyDescent="0.45"/>
    <row r="2" spans="1:10" ht="22.3" thickTop="1" thickBot="1" x14ac:dyDescent="0.6">
      <c r="A2" s="89" t="s">
        <v>16</v>
      </c>
      <c r="B2" s="89"/>
      <c r="C2" s="89"/>
      <c r="D2" s="89"/>
      <c r="E2" s="90"/>
      <c r="F2" s="91"/>
      <c r="G2" s="91"/>
      <c r="H2" s="91"/>
      <c r="I2" s="91"/>
    </row>
    <row r="3" spans="1:10" ht="15.9" thickTop="1" x14ac:dyDescent="0.4">
      <c r="A3" s="68" t="s">
        <v>30</v>
      </c>
      <c r="B3" s="68"/>
      <c r="C3" s="68"/>
      <c r="D3" s="69"/>
      <c r="E3" s="70"/>
      <c r="F3" s="69"/>
      <c r="G3" s="68"/>
      <c r="H3" s="71"/>
      <c r="I3" s="72" t="s">
        <v>31</v>
      </c>
    </row>
    <row r="4" spans="1:10" x14ac:dyDescent="0.4">
      <c r="A4" s="73"/>
      <c r="B4" s="68"/>
      <c r="C4" s="68"/>
      <c r="D4" s="69"/>
      <c r="E4" s="70"/>
      <c r="F4" s="74"/>
      <c r="G4" s="68"/>
      <c r="H4" s="69"/>
      <c r="I4" s="75" t="s">
        <v>68</v>
      </c>
    </row>
    <row r="5" spans="1:10" x14ac:dyDescent="0.4">
      <c r="A5" s="73" t="s">
        <v>61</v>
      </c>
      <c r="B5" s="68"/>
      <c r="C5" s="68"/>
      <c r="D5" s="69"/>
      <c r="E5" s="70"/>
      <c r="F5" s="74"/>
      <c r="G5" s="68"/>
      <c r="H5" s="69"/>
      <c r="I5" s="75" t="s">
        <v>32</v>
      </c>
    </row>
    <row r="6" spans="1:10" x14ac:dyDescent="0.4">
      <c r="A6" s="73" t="s">
        <v>62</v>
      </c>
      <c r="B6" s="68"/>
      <c r="C6" s="68"/>
      <c r="D6" s="69"/>
      <c r="E6" s="70"/>
      <c r="F6" s="74"/>
      <c r="G6" s="68"/>
      <c r="H6" s="69"/>
      <c r="I6" s="75" t="s">
        <v>33</v>
      </c>
      <c r="J6" s="92"/>
    </row>
    <row r="7" spans="1:10" x14ac:dyDescent="0.4">
      <c r="A7" s="68" t="s">
        <v>63</v>
      </c>
      <c r="B7" s="68"/>
      <c r="C7" s="68"/>
      <c r="D7" s="69"/>
      <c r="E7" s="70"/>
      <c r="F7" s="74"/>
      <c r="G7" s="68"/>
      <c r="H7" s="69"/>
      <c r="I7" s="75" t="s">
        <v>34</v>
      </c>
    </row>
    <row r="8" spans="1:10" x14ac:dyDescent="0.4">
      <c r="A8" s="68" t="s">
        <v>64</v>
      </c>
      <c r="B8" s="68"/>
      <c r="C8" s="68"/>
      <c r="D8" s="69"/>
      <c r="E8" s="70"/>
      <c r="F8" s="69"/>
      <c r="G8" s="68"/>
      <c r="H8" s="69"/>
      <c r="I8" s="75" t="s">
        <v>35</v>
      </c>
    </row>
    <row r="9" spans="1:10" x14ac:dyDescent="0.4">
      <c r="A9" s="68" t="s">
        <v>65</v>
      </c>
      <c r="B9" s="68"/>
      <c r="C9" s="68"/>
      <c r="D9" s="69"/>
      <c r="E9" s="70"/>
      <c r="F9" s="69"/>
      <c r="G9" s="68"/>
      <c r="H9" s="69"/>
      <c r="I9" s="75" t="s">
        <v>67</v>
      </c>
    </row>
    <row r="10" spans="1:10" x14ac:dyDescent="0.4">
      <c r="A10" s="68" t="s">
        <v>66</v>
      </c>
      <c r="B10" s="68"/>
      <c r="C10" s="68"/>
      <c r="D10" s="69"/>
      <c r="E10" s="70"/>
      <c r="F10" s="69"/>
      <c r="G10" s="68"/>
      <c r="H10" s="68"/>
      <c r="I10" s="68"/>
    </row>
    <row r="11" spans="1:10" x14ac:dyDescent="0.4">
      <c r="A11" s="88"/>
      <c r="B11" s="88"/>
      <c r="C11" s="88"/>
      <c r="D11" s="88"/>
      <c r="F11" s="88"/>
      <c r="G11" s="93"/>
      <c r="H11" s="93"/>
      <c r="I11" s="93"/>
    </row>
    <row r="12" spans="1:10" x14ac:dyDescent="0.4">
      <c r="A12" s="94" t="s">
        <v>17</v>
      </c>
      <c r="B12" s="94" t="s">
        <v>18</v>
      </c>
      <c r="C12" s="95" t="s">
        <v>19</v>
      </c>
      <c r="D12" s="95" t="s">
        <v>20</v>
      </c>
      <c r="E12" s="96" t="s">
        <v>21</v>
      </c>
      <c r="F12" s="95" t="s">
        <v>22</v>
      </c>
      <c r="G12" s="97" t="s">
        <v>23</v>
      </c>
      <c r="H12" s="97" t="s">
        <v>24</v>
      </c>
      <c r="I12" s="97" t="s">
        <v>25</v>
      </c>
    </row>
    <row r="13" spans="1:10" ht="18" customHeight="1" x14ac:dyDescent="0.4">
      <c r="A13" s="98">
        <v>44670</v>
      </c>
      <c r="B13" s="99" t="s">
        <v>80</v>
      </c>
      <c r="C13" s="97" t="s">
        <v>78</v>
      </c>
      <c r="D13" s="97" t="s">
        <v>43</v>
      </c>
      <c r="E13" s="84">
        <v>8</v>
      </c>
      <c r="F13" s="69" t="s">
        <v>36</v>
      </c>
      <c r="G13" s="95">
        <v>5</v>
      </c>
      <c r="H13" s="100">
        <v>216</v>
      </c>
      <c r="I13" s="100">
        <v>1080</v>
      </c>
      <c r="J13" s="88" t="s">
        <v>27</v>
      </c>
    </row>
    <row r="14" spans="1:10" ht="18" customHeight="1" x14ac:dyDescent="0.4">
      <c r="A14" s="98">
        <v>44670</v>
      </c>
      <c r="B14" s="99" t="s">
        <v>80</v>
      </c>
      <c r="C14" s="97" t="s">
        <v>78</v>
      </c>
      <c r="D14" s="97" t="s">
        <v>43</v>
      </c>
      <c r="E14" s="84">
        <v>9</v>
      </c>
      <c r="F14" s="69" t="s">
        <v>42</v>
      </c>
      <c r="G14" s="95">
        <v>5</v>
      </c>
      <c r="H14" s="100">
        <v>138</v>
      </c>
      <c r="I14" s="100">
        <v>690</v>
      </c>
      <c r="J14" s="88" t="s">
        <v>27</v>
      </c>
    </row>
    <row r="15" spans="1:10" ht="18" customHeight="1" x14ac:dyDescent="0.4">
      <c r="A15" s="98">
        <v>44670</v>
      </c>
      <c r="B15" s="99" t="s">
        <v>80</v>
      </c>
      <c r="C15" s="97" t="s">
        <v>78</v>
      </c>
      <c r="D15" s="97" t="s">
        <v>43</v>
      </c>
      <c r="E15" s="84">
        <v>10</v>
      </c>
      <c r="F15" s="69" t="s">
        <v>46</v>
      </c>
      <c r="G15" s="95">
        <v>5</v>
      </c>
      <c r="H15" s="100">
        <v>240</v>
      </c>
      <c r="I15" s="100">
        <v>1200</v>
      </c>
      <c r="J15" s="88" t="s">
        <v>27</v>
      </c>
    </row>
    <row r="16" spans="1:10" ht="18" customHeight="1" x14ac:dyDescent="0.4">
      <c r="A16" s="98">
        <v>44671</v>
      </c>
      <c r="B16" s="99" t="s">
        <v>80</v>
      </c>
      <c r="C16" s="97" t="s">
        <v>78</v>
      </c>
      <c r="D16" s="97" t="s">
        <v>43</v>
      </c>
      <c r="E16" s="84">
        <v>11</v>
      </c>
      <c r="F16" s="69" t="s">
        <v>47</v>
      </c>
      <c r="G16" s="95">
        <v>5</v>
      </c>
      <c r="H16" s="100">
        <v>195</v>
      </c>
      <c r="I16" s="100">
        <v>975</v>
      </c>
      <c r="J16" s="88" t="s">
        <v>27</v>
      </c>
    </row>
    <row r="17" spans="1:10" ht="18" customHeight="1" x14ac:dyDescent="0.4">
      <c r="A17" s="98">
        <v>44672</v>
      </c>
      <c r="B17" s="99" t="s">
        <v>80</v>
      </c>
      <c r="C17" s="97" t="s">
        <v>78</v>
      </c>
      <c r="D17" s="97" t="s">
        <v>43</v>
      </c>
      <c r="E17" s="84">
        <v>12</v>
      </c>
      <c r="F17" s="69" t="s">
        <v>49</v>
      </c>
      <c r="G17" s="95">
        <v>5</v>
      </c>
      <c r="H17" s="100">
        <v>234</v>
      </c>
      <c r="I17" s="100">
        <v>1170</v>
      </c>
      <c r="J17" s="88" t="s">
        <v>27</v>
      </c>
    </row>
    <row r="18" spans="1:10" ht="18" customHeight="1" x14ac:dyDescent="0.4">
      <c r="A18" s="98">
        <v>44672</v>
      </c>
      <c r="B18" s="99" t="s">
        <v>80</v>
      </c>
      <c r="C18" s="97" t="s">
        <v>78</v>
      </c>
      <c r="D18" s="97" t="s">
        <v>43</v>
      </c>
      <c r="E18" s="101">
        <v>13</v>
      </c>
      <c r="F18" s="95" t="s">
        <v>50</v>
      </c>
      <c r="G18" s="95">
        <v>5</v>
      </c>
      <c r="H18" s="100">
        <v>216</v>
      </c>
      <c r="I18" s="100">
        <v>1080</v>
      </c>
      <c r="J18" s="88" t="s">
        <v>27</v>
      </c>
    </row>
    <row r="19" spans="1:10" ht="18" customHeight="1" x14ac:dyDescent="0.4">
      <c r="A19" s="98">
        <v>44672</v>
      </c>
      <c r="B19" s="99" t="s">
        <v>80</v>
      </c>
      <c r="C19" s="97" t="s">
        <v>78</v>
      </c>
      <c r="D19" s="97" t="s">
        <v>43</v>
      </c>
      <c r="E19" s="101">
        <v>14</v>
      </c>
      <c r="F19" s="95" t="s">
        <v>51</v>
      </c>
      <c r="G19" s="95">
        <v>5</v>
      </c>
      <c r="H19" s="100">
        <v>195</v>
      </c>
      <c r="I19" s="100">
        <v>975</v>
      </c>
      <c r="J19" s="88" t="s">
        <v>27</v>
      </c>
    </row>
    <row r="20" spans="1:10" ht="18" customHeight="1" x14ac:dyDescent="0.4">
      <c r="A20" s="98">
        <v>44672</v>
      </c>
      <c r="B20" s="99" t="s">
        <v>80</v>
      </c>
      <c r="C20" s="97" t="s">
        <v>78</v>
      </c>
      <c r="D20" s="97" t="s">
        <v>43</v>
      </c>
      <c r="E20" s="101">
        <v>15</v>
      </c>
      <c r="F20" s="95" t="s">
        <v>52</v>
      </c>
      <c r="G20" s="95">
        <v>5</v>
      </c>
      <c r="H20" s="100">
        <v>138</v>
      </c>
      <c r="I20" s="100">
        <v>690</v>
      </c>
      <c r="J20" s="88" t="s">
        <v>27</v>
      </c>
    </row>
    <row r="21" spans="1:10" ht="18" customHeight="1" x14ac:dyDescent="0.4">
      <c r="A21" s="98">
        <v>44671</v>
      </c>
      <c r="B21" s="99" t="s">
        <v>80</v>
      </c>
      <c r="C21" s="97" t="s">
        <v>78</v>
      </c>
      <c r="D21" s="97" t="s">
        <v>43</v>
      </c>
      <c r="E21" s="101">
        <v>16</v>
      </c>
      <c r="F21" s="95" t="s">
        <v>53</v>
      </c>
      <c r="G21" s="95">
        <v>5</v>
      </c>
      <c r="H21" s="100">
        <v>250</v>
      </c>
      <c r="I21" s="100">
        <v>1250</v>
      </c>
      <c r="J21" s="88" t="s">
        <v>27</v>
      </c>
    </row>
    <row r="22" spans="1:10" ht="18" customHeight="1" x14ac:dyDescent="0.4">
      <c r="A22" s="98">
        <v>44671</v>
      </c>
      <c r="B22" s="99" t="s">
        <v>80</v>
      </c>
      <c r="C22" s="97" t="s">
        <v>78</v>
      </c>
      <c r="D22" s="97" t="s">
        <v>43</v>
      </c>
      <c r="E22" s="101">
        <v>17</v>
      </c>
      <c r="F22" s="95" t="s">
        <v>54</v>
      </c>
      <c r="G22" s="95">
        <v>5</v>
      </c>
      <c r="H22" s="100">
        <v>140</v>
      </c>
      <c r="I22" s="100">
        <v>700</v>
      </c>
      <c r="J22" s="88" t="s">
        <v>27</v>
      </c>
    </row>
    <row r="23" spans="1:10" ht="18" customHeight="1" x14ac:dyDescent="0.4">
      <c r="A23" s="98">
        <v>44671</v>
      </c>
      <c r="B23" s="99" t="s">
        <v>80</v>
      </c>
      <c r="C23" s="97" t="s">
        <v>78</v>
      </c>
      <c r="D23" s="97" t="s">
        <v>43</v>
      </c>
      <c r="E23" s="101">
        <v>18</v>
      </c>
      <c r="F23" s="95" t="s">
        <v>58</v>
      </c>
      <c r="G23" s="95">
        <v>10</v>
      </c>
      <c r="H23" s="100">
        <v>270</v>
      </c>
      <c r="I23" s="100">
        <v>2700</v>
      </c>
      <c r="J23" s="88" t="s">
        <v>28</v>
      </c>
    </row>
    <row r="24" spans="1:10" ht="18" customHeight="1" x14ac:dyDescent="0.4">
      <c r="A24" s="98">
        <v>44670</v>
      </c>
      <c r="B24" s="99" t="s">
        <v>80</v>
      </c>
      <c r="C24" s="97" t="s">
        <v>78</v>
      </c>
      <c r="D24" s="97" t="s">
        <v>44</v>
      </c>
      <c r="E24" s="101">
        <v>1</v>
      </c>
      <c r="F24" s="69" t="s">
        <v>36</v>
      </c>
      <c r="G24" s="95">
        <v>6</v>
      </c>
      <c r="H24" s="100">
        <v>85</v>
      </c>
      <c r="I24" s="100">
        <v>510</v>
      </c>
      <c r="J24" s="88" t="s">
        <v>28</v>
      </c>
    </row>
    <row r="25" spans="1:10" ht="18" customHeight="1" x14ac:dyDescent="0.4">
      <c r="A25" s="98">
        <v>44670</v>
      </c>
      <c r="B25" s="99" t="s">
        <v>80</v>
      </c>
      <c r="C25" s="97" t="s">
        <v>78</v>
      </c>
      <c r="D25" s="97" t="s">
        <v>44</v>
      </c>
      <c r="E25" s="101">
        <v>2</v>
      </c>
      <c r="F25" s="69" t="s">
        <v>37</v>
      </c>
      <c r="G25" s="95">
        <v>6</v>
      </c>
      <c r="H25" s="100">
        <v>120</v>
      </c>
      <c r="I25" s="100">
        <v>720</v>
      </c>
      <c r="J25" s="88" t="s">
        <v>28</v>
      </c>
    </row>
    <row r="26" spans="1:10" ht="18" customHeight="1" x14ac:dyDescent="0.4">
      <c r="A26" s="98">
        <v>44670</v>
      </c>
      <c r="B26" s="99" t="s">
        <v>80</v>
      </c>
      <c r="C26" s="97" t="s">
        <v>78</v>
      </c>
      <c r="D26" s="97" t="s">
        <v>44</v>
      </c>
      <c r="E26" s="101">
        <v>3</v>
      </c>
      <c r="F26" s="69" t="s">
        <v>38</v>
      </c>
      <c r="G26" s="95">
        <v>5</v>
      </c>
      <c r="H26" s="100">
        <v>160</v>
      </c>
      <c r="I26" s="100">
        <v>800</v>
      </c>
      <c r="J26" s="88" t="s">
        <v>28</v>
      </c>
    </row>
    <row r="27" spans="1:10" ht="18" customHeight="1" x14ac:dyDescent="0.4">
      <c r="A27" s="98">
        <v>44671</v>
      </c>
      <c r="B27" s="99" t="s">
        <v>80</v>
      </c>
      <c r="C27" s="97" t="s">
        <v>78</v>
      </c>
      <c r="D27" s="97" t="s">
        <v>44</v>
      </c>
      <c r="E27" s="101">
        <v>4</v>
      </c>
      <c r="F27" s="69" t="s">
        <v>39</v>
      </c>
      <c r="G27" s="95">
        <v>20</v>
      </c>
      <c r="H27" s="100">
        <v>30</v>
      </c>
      <c r="I27" s="100">
        <v>600</v>
      </c>
      <c r="J27" s="88" t="s">
        <v>28</v>
      </c>
    </row>
    <row r="28" spans="1:10" ht="18" customHeight="1" x14ac:dyDescent="0.4">
      <c r="A28" s="98">
        <v>44671</v>
      </c>
      <c r="B28" s="99" t="s">
        <v>80</v>
      </c>
      <c r="C28" s="97" t="s">
        <v>78</v>
      </c>
      <c r="D28" s="97" t="s">
        <v>44</v>
      </c>
      <c r="E28" s="101">
        <v>5</v>
      </c>
      <c r="F28" s="69" t="s">
        <v>40</v>
      </c>
      <c r="G28" s="95">
        <v>12</v>
      </c>
      <c r="H28" s="100">
        <v>130</v>
      </c>
      <c r="I28" s="100">
        <v>1560</v>
      </c>
      <c r="J28" s="88" t="s">
        <v>28</v>
      </c>
    </row>
    <row r="29" spans="1:10" ht="18" customHeight="1" x14ac:dyDescent="0.4">
      <c r="A29" s="98">
        <v>44671</v>
      </c>
      <c r="B29" s="99" t="s">
        <v>80</v>
      </c>
      <c r="C29" s="97" t="s">
        <v>78</v>
      </c>
      <c r="D29" s="97" t="s">
        <v>44</v>
      </c>
      <c r="E29" s="101">
        <v>6</v>
      </c>
      <c r="F29" s="69" t="s">
        <v>41</v>
      </c>
      <c r="G29" s="95">
        <v>5</v>
      </c>
      <c r="H29" s="100">
        <v>230</v>
      </c>
      <c r="I29" s="100">
        <v>1150</v>
      </c>
      <c r="J29" s="88" t="s">
        <v>28</v>
      </c>
    </row>
    <row r="30" spans="1:10" ht="18" customHeight="1" x14ac:dyDescent="0.4">
      <c r="A30" s="98">
        <v>44671</v>
      </c>
      <c r="B30" s="99" t="s">
        <v>80</v>
      </c>
      <c r="C30" s="97" t="s">
        <v>78</v>
      </c>
      <c r="D30" s="97" t="s">
        <v>44</v>
      </c>
      <c r="E30" s="101">
        <v>7</v>
      </c>
      <c r="F30" s="69" t="s">
        <v>42</v>
      </c>
      <c r="G30" s="95">
        <v>10</v>
      </c>
      <c r="H30" s="100">
        <v>35</v>
      </c>
      <c r="I30" s="100">
        <v>350</v>
      </c>
      <c r="J30" s="88" t="s">
        <v>28</v>
      </c>
    </row>
    <row r="31" spans="1:10" ht="18" customHeight="1" x14ac:dyDescent="0.4">
      <c r="A31" s="98">
        <v>44671</v>
      </c>
      <c r="B31" s="99" t="s">
        <v>80</v>
      </c>
      <c r="C31" s="97" t="s">
        <v>78</v>
      </c>
      <c r="D31" s="97" t="s">
        <v>44</v>
      </c>
      <c r="E31" s="101">
        <v>8</v>
      </c>
      <c r="F31" s="95" t="s">
        <v>46</v>
      </c>
      <c r="G31" s="95">
        <v>10</v>
      </c>
      <c r="H31" s="100">
        <v>95</v>
      </c>
      <c r="I31" s="100">
        <v>950</v>
      </c>
      <c r="J31" s="88" t="s">
        <v>28</v>
      </c>
    </row>
    <row r="32" spans="1:10" ht="18" customHeight="1" x14ac:dyDescent="0.4">
      <c r="A32" s="98">
        <v>44671</v>
      </c>
      <c r="B32" s="99" t="s">
        <v>80</v>
      </c>
      <c r="C32" s="97" t="s">
        <v>78</v>
      </c>
      <c r="D32" s="97" t="s">
        <v>44</v>
      </c>
      <c r="E32" s="101">
        <v>9</v>
      </c>
      <c r="F32" s="95" t="s">
        <v>48</v>
      </c>
      <c r="G32" s="95">
        <v>10</v>
      </c>
      <c r="H32" s="100">
        <v>55</v>
      </c>
      <c r="I32" s="100">
        <v>550</v>
      </c>
      <c r="J32" s="88" t="s">
        <v>28</v>
      </c>
    </row>
    <row r="33" spans="1:10" ht="18" customHeight="1" x14ac:dyDescent="0.4">
      <c r="A33" s="98">
        <v>44671</v>
      </c>
      <c r="B33" s="99" t="s">
        <v>80</v>
      </c>
      <c r="C33" s="97" t="s">
        <v>78</v>
      </c>
      <c r="D33" s="97" t="s">
        <v>44</v>
      </c>
      <c r="E33" s="101">
        <v>10</v>
      </c>
      <c r="F33" s="95" t="s">
        <v>49</v>
      </c>
      <c r="G33" s="95">
        <v>5</v>
      </c>
      <c r="H33" s="100">
        <v>160</v>
      </c>
      <c r="I33" s="100">
        <v>800</v>
      </c>
      <c r="J33" s="88" t="s">
        <v>28</v>
      </c>
    </row>
    <row r="34" spans="1:10" ht="18" customHeight="1" x14ac:dyDescent="0.4">
      <c r="A34" s="98">
        <v>44672</v>
      </c>
      <c r="B34" s="99" t="s">
        <v>80</v>
      </c>
      <c r="C34" s="97" t="s">
        <v>78</v>
      </c>
      <c r="D34" s="97" t="s">
        <v>44</v>
      </c>
      <c r="E34" s="101">
        <v>11</v>
      </c>
      <c r="F34" s="95" t="s">
        <v>50</v>
      </c>
      <c r="G34" s="95">
        <v>20</v>
      </c>
      <c r="H34" s="100">
        <v>30</v>
      </c>
      <c r="I34" s="100">
        <v>600</v>
      </c>
      <c r="J34" s="88" t="s">
        <v>28</v>
      </c>
    </row>
    <row r="35" spans="1:10" ht="18" customHeight="1" x14ac:dyDescent="0.4">
      <c r="A35" s="98">
        <v>44672</v>
      </c>
      <c r="B35" s="99" t="s">
        <v>80</v>
      </c>
      <c r="C35" s="97" t="s">
        <v>78</v>
      </c>
      <c r="D35" s="97" t="s">
        <v>44</v>
      </c>
      <c r="E35" s="101">
        <v>12</v>
      </c>
      <c r="F35" s="95" t="s">
        <v>51</v>
      </c>
      <c r="G35" s="95">
        <v>12</v>
      </c>
      <c r="H35" s="100">
        <v>130</v>
      </c>
      <c r="I35" s="100">
        <v>1560</v>
      </c>
      <c r="J35" s="88" t="s">
        <v>28</v>
      </c>
    </row>
    <row r="36" spans="1:10" ht="18" customHeight="1" x14ac:dyDescent="0.4">
      <c r="A36" s="98">
        <v>44672</v>
      </c>
      <c r="B36" s="99" t="s">
        <v>80</v>
      </c>
      <c r="C36" s="97" t="s">
        <v>78</v>
      </c>
      <c r="D36" s="97" t="s">
        <v>44</v>
      </c>
      <c r="E36" s="101">
        <v>13</v>
      </c>
      <c r="F36" s="95" t="s">
        <v>52</v>
      </c>
      <c r="G36" s="95">
        <v>6</v>
      </c>
      <c r="H36" s="100">
        <v>120</v>
      </c>
      <c r="I36" s="100">
        <v>720</v>
      </c>
      <c r="J36" s="88" t="s">
        <v>28</v>
      </c>
    </row>
    <row r="37" spans="1:10" ht="18" customHeight="1" x14ac:dyDescent="0.4">
      <c r="A37" s="98">
        <v>44672</v>
      </c>
      <c r="B37" s="99" t="s">
        <v>80</v>
      </c>
      <c r="C37" s="97" t="s">
        <v>78</v>
      </c>
      <c r="D37" s="97" t="s">
        <v>44</v>
      </c>
      <c r="E37" s="101">
        <v>14</v>
      </c>
      <c r="F37" s="95" t="s">
        <v>53</v>
      </c>
      <c r="G37" s="95">
        <v>6</v>
      </c>
      <c r="H37" s="100">
        <v>125</v>
      </c>
      <c r="I37" s="100">
        <v>750</v>
      </c>
      <c r="J37" s="88" t="s">
        <v>28</v>
      </c>
    </row>
    <row r="38" spans="1:10" ht="18" customHeight="1" x14ac:dyDescent="0.4">
      <c r="A38" s="98">
        <v>44672</v>
      </c>
      <c r="B38" s="99" t="s">
        <v>80</v>
      </c>
      <c r="C38" s="97" t="s">
        <v>78</v>
      </c>
      <c r="D38" s="97" t="s">
        <v>44</v>
      </c>
      <c r="E38" s="101">
        <v>15</v>
      </c>
      <c r="F38" s="95" t="s">
        <v>54</v>
      </c>
      <c r="G38" s="95">
        <v>5</v>
      </c>
      <c r="H38" s="100">
        <v>160</v>
      </c>
      <c r="I38" s="100">
        <v>800</v>
      </c>
      <c r="J38" s="88" t="s">
        <v>28</v>
      </c>
    </row>
    <row r="39" spans="1:10" ht="18" customHeight="1" x14ac:dyDescent="0.4">
      <c r="A39" s="98">
        <v>44671</v>
      </c>
      <c r="B39" s="99" t="s">
        <v>80</v>
      </c>
      <c r="C39" s="97" t="s">
        <v>78</v>
      </c>
      <c r="D39" s="97" t="s">
        <v>45</v>
      </c>
      <c r="E39" s="101">
        <v>4</v>
      </c>
      <c r="F39" s="95" t="s">
        <v>55</v>
      </c>
      <c r="G39" s="95">
        <v>5</v>
      </c>
      <c r="H39" s="100">
        <v>400</v>
      </c>
      <c r="I39" s="100">
        <v>2000</v>
      </c>
      <c r="J39" s="88" t="s">
        <v>29</v>
      </c>
    </row>
    <row r="40" spans="1:10" ht="18" customHeight="1" x14ac:dyDescent="0.4">
      <c r="A40" s="98">
        <v>44670</v>
      </c>
      <c r="B40" s="99" t="s">
        <v>80</v>
      </c>
      <c r="C40" s="97" t="s">
        <v>78</v>
      </c>
      <c r="D40" s="97" t="s">
        <v>45</v>
      </c>
      <c r="E40" s="101">
        <v>5</v>
      </c>
      <c r="F40" s="95" t="s">
        <v>56</v>
      </c>
      <c r="G40" s="95">
        <v>5</v>
      </c>
      <c r="H40" s="100">
        <v>140</v>
      </c>
      <c r="I40" s="100">
        <v>700</v>
      </c>
      <c r="J40" s="88" t="s">
        <v>27</v>
      </c>
    </row>
    <row r="41" spans="1:10" ht="18" customHeight="1" x14ac:dyDescent="0.4">
      <c r="A41" s="98">
        <v>44670</v>
      </c>
      <c r="B41" s="99" t="s">
        <v>80</v>
      </c>
      <c r="C41" s="97" t="s">
        <v>78</v>
      </c>
      <c r="D41" s="97" t="s">
        <v>45</v>
      </c>
      <c r="E41" s="101">
        <v>6</v>
      </c>
      <c r="F41" s="95" t="s">
        <v>57</v>
      </c>
      <c r="G41" s="95">
        <v>10</v>
      </c>
      <c r="H41" s="100">
        <v>140</v>
      </c>
      <c r="I41" s="100">
        <v>1400</v>
      </c>
      <c r="J41" s="88" t="s">
        <v>27</v>
      </c>
    </row>
    <row r="42" spans="1:10" ht="18" customHeight="1" x14ac:dyDescent="0.4">
      <c r="A42" s="98">
        <v>44670</v>
      </c>
      <c r="B42" s="99" t="s">
        <v>80</v>
      </c>
      <c r="C42" s="97" t="s">
        <v>78</v>
      </c>
      <c r="D42" s="97" t="s">
        <v>45</v>
      </c>
      <c r="E42" s="101">
        <v>7</v>
      </c>
      <c r="F42" s="95" t="s">
        <v>54</v>
      </c>
      <c r="G42" s="95">
        <v>5</v>
      </c>
      <c r="H42" s="100">
        <v>160</v>
      </c>
      <c r="I42" s="100">
        <v>800</v>
      </c>
      <c r="J42" s="88" t="s">
        <v>27</v>
      </c>
    </row>
    <row r="43" spans="1:10" ht="18" customHeight="1" x14ac:dyDescent="0.4">
      <c r="A43" s="98">
        <v>44670</v>
      </c>
      <c r="B43" s="99" t="s">
        <v>80</v>
      </c>
      <c r="C43" s="97" t="s">
        <v>78</v>
      </c>
      <c r="D43" s="97" t="s">
        <v>45</v>
      </c>
      <c r="E43" s="101">
        <v>8</v>
      </c>
      <c r="F43" s="95" t="s">
        <v>58</v>
      </c>
      <c r="G43" s="95">
        <v>5</v>
      </c>
      <c r="H43" s="100">
        <v>160</v>
      </c>
      <c r="I43" s="100">
        <v>800</v>
      </c>
      <c r="J43" s="88" t="s">
        <v>27</v>
      </c>
    </row>
    <row r="44" spans="1:10" ht="18" customHeight="1" x14ac:dyDescent="0.4">
      <c r="A44" s="98">
        <v>44670</v>
      </c>
      <c r="B44" s="99" t="s">
        <v>80</v>
      </c>
      <c r="C44" s="97" t="s">
        <v>78</v>
      </c>
      <c r="D44" s="97" t="s">
        <v>45</v>
      </c>
      <c r="E44" s="101">
        <v>9</v>
      </c>
      <c r="F44" s="69" t="s">
        <v>36</v>
      </c>
      <c r="G44" s="95">
        <v>5</v>
      </c>
      <c r="H44" s="100">
        <v>120</v>
      </c>
      <c r="I44" s="100">
        <v>600</v>
      </c>
      <c r="J44" s="88" t="s">
        <v>27</v>
      </c>
    </row>
    <row r="45" spans="1:10" ht="18" customHeight="1" x14ac:dyDescent="0.4">
      <c r="A45" s="98">
        <v>44671</v>
      </c>
      <c r="B45" s="99" t="s">
        <v>80</v>
      </c>
      <c r="C45" s="97" t="s">
        <v>78</v>
      </c>
      <c r="D45" s="97" t="s">
        <v>45</v>
      </c>
      <c r="E45" s="101">
        <v>10</v>
      </c>
      <c r="F45" s="69" t="s">
        <v>37</v>
      </c>
      <c r="G45" s="95">
        <v>10</v>
      </c>
      <c r="H45" s="100">
        <v>160</v>
      </c>
      <c r="I45" s="100">
        <v>1600</v>
      </c>
      <c r="J45" s="88" t="s">
        <v>27</v>
      </c>
    </row>
    <row r="46" spans="1:10" ht="18" customHeight="1" x14ac:dyDescent="0.4">
      <c r="A46" s="98">
        <v>44672</v>
      </c>
      <c r="B46" s="99" t="s">
        <v>80</v>
      </c>
      <c r="C46" s="97" t="s">
        <v>78</v>
      </c>
      <c r="D46" s="97" t="s">
        <v>45</v>
      </c>
      <c r="E46" s="101">
        <v>11</v>
      </c>
      <c r="F46" s="95" t="s">
        <v>38</v>
      </c>
      <c r="G46" s="95">
        <v>5</v>
      </c>
      <c r="H46" s="100">
        <v>140</v>
      </c>
      <c r="I46" s="100">
        <v>700</v>
      </c>
      <c r="J46" s="88" t="s">
        <v>27</v>
      </c>
    </row>
    <row r="47" spans="1:10" ht="18" customHeight="1" x14ac:dyDescent="0.4">
      <c r="A47" s="98">
        <v>44672</v>
      </c>
      <c r="B47" s="99" t="s">
        <v>80</v>
      </c>
      <c r="C47" s="97" t="s">
        <v>78</v>
      </c>
      <c r="D47" s="97" t="s">
        <v>45</v>
      </c>
      <c r="E47" s="101">
        <v>12</v>
      </c>
      <c r="F47" s="95" t="s">
        <v>39</v>
      </c>
      <c r="G47" s="95">
        <v>10</v>
      </c>
      <c r="H47" s="100">
        <v>160</v>
      </c>
      <c r="I47" s="100">
        <v>1600</v>
      </c>
      <c r="J47" s="88" t="s">
        <v>27</v>
      </c>
    </row>
    <row r="48" spans="1:10" ht="18" customHeight="1" x14ac:dyDescent="0.4">
      <c r="A48" s="98">
        <v>44672</v>
      </c>
      <c r="B48" s="99" t="s">
        <v>80</v>
      </c>
      <c r="C48" s="97" t="s">
        <v>78</v>
      </c>
      <c r="D48" s="97" t="s">
        <v>45</v>
      </c>
      <c r="E48" s="101">
        <v>13</v>
      </c>
      <c r="F48" s="95" t="s">
        <v>40</v>
      </c>
      <c r="G48" s="95">
        <v>5</v>
      </c>
      <c r="H48" s="100">
        <v>160</v>
      </c>
      <c r="I48" s="100">
        <v>800</v>
      </c>
      <c r="J48" s="88" t="s">
        <v>27</v>
      </c>
    </row>
    <row r="49" spans="1:10" ht="18" customHeight="1" x14ac:dyDescent="0.4">
      <c r="A49" s="98">
        <v>44672</v>
      </c>
      <c r="B49" s="99" t="s">
        <v>80</v>
      </c>
      <c r="C49" s="97" t="s">
        <v>78</v>
      </c>
      <c r="D49" s="97" t="s">
        <v>45</v>
      </c>
      <c r="E49" s="101">
        <v>14</v>
      </c>
      <c r="F49" s="95" t="s">
        <v>41</v>
      </c>
      <c r="G49" s="95">
        <v>5</v>
      </c>
      <c r="H49" s="100">
        <v>160</v>
      </c>
      <c r="I49" s="100">
        <v>800</v>
      </c>
      <c r="J49" s="88" t="s">
        <v>27</v>
      </c>
    </row>
    <row r="50" spans="1:10" ht="18" customHeight="1" x14ac:dyDescent="0.4">
      <c r="A50" s="98">
        <v>44670</v>
      </c>
      <c r="B50" s="99" t="s">
        <v>80</v>
      </c>
      <c r="C50" s="97" t="s">
        <v>78</v>
      </c>
      <c r="D50" s="97" t="s">
        <v>45</v>
      </c>
      <c r="E50" s="101">
        <v>15</v>
      </c>
      <c r="F50" s="95" t="s">
        <v>42</v>
      </c>
      <c r="G50" s="95">
        <v>10</v>
      </c>
      <c r="H50" s="100">
        <v>65</v>
      </c>
      <c r="I50" s="100">
        <v>650</v>
      </c>
      <c r="J50" s="88" t="s">
        <v>28</v>
      </c>
    </row>
  </sheetData>
  <autoFilter ref="A12:J50" xr:uid="{F68A77FD-EE2A-419D-80E7-62615828C9EB}"/>
  <phoneticPr fontId="16"/>
  <conditionalFormatting sqref="F24:F30">
    <cfRule type="cellIs" dxfId="4" priority="6" operator="notEqual">
      <formula>""</formula>
    </cfRule>
  </conditionalFormatting>
  <conditionalFormatting sqref="F44:F45">
    <cfRule type="cellIs" dxfId="3" priority="5" operator="notEqual">
      <formula>""</formula>
    </cfRule>
  </conditionalFormatting>
  <conditionalFormatting sqref="E17:F17">
    <cfRule type="cellIs" dxfId="2" priority="3" operator="notEqual">
      <formula>""</formula>
    </cfRule>
  </conditionalFormatting>
  <conditionalFormatting sqref="E14:F16">
    <cfRule type="cellIs" dxfId="1" priority="2" operator="notEqual">
      <formula>""</formula>
    </cfRule>
  </conditionalFormatting>
  <conditionalFormatting sqref="E13:F13">
    <cfRule type="cellIs" dxfId="0" priority="1" operator="notEqual">
      <formula>""</formula>
    </cfRule>
  </conditionalFormatting>
  <pageMargins left="0.7" right="0.7" top="0.75" bottom="0.75" header="0.3" footer="0.3"/>
  <pageSetup scale="94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マクロ実行シート</vt:lpstr>
      <vt:lpstr>Template</vt:lpstr>
      <vt:lpstr>0422XST</vt:lpstr>
      <vt:lpstr>0422YST</vt:lpstr>
      <vt:lpstr>0419_21XST</vt:lpstr>
      <vt:lpstr>Template!Print_Area</vt:lpstr>
      <vt:lpstr>Template!Print_Titles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清治聡子</dc:creator>
  <cp:lastModifiedBy>Yusuke Fukushima</cp:lastModifiedBy>
  <cp:lastPrinted>2022-09-26T00:56:07Z</cp:lastPrinted>
  <dcterms:created xsi:type="dcterms:W3CDTF">2021-10-07T06:42:26Z</dcterms:created>
  <dcterms:modified xsi:type="dcterms:W3CDTF">2022-09-26T01:14:37Z</dcterms:modified>
</cp:coreProperties>
</file>